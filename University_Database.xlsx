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  <sheet name="Groups" sheetId="2" state="visible" r:id="rId4"/>
    <sheet name="Teachers" sheetId="3" state="visible" r:id="rId5"/>
    <sheet name="Departments" sheetId="4" state="visible" r:id="rId6"/>
    <sheet name="Courses" sheetId="5" state="visible" r:id="rId7"/>
    <sheet name="Classrooms" sheetId="6" state="visible" r:id="rId8"/>
    <sheet name="Schedule" sheetId="7" state="visible" r:id="rId9"/>
    <sheet name="Enrollments" sheetId="8" state="visible" r:id="rId10"/>
    <sheet name="Grades" sheetId="9" state="visible" r:id="rId11"/>
    <sheet name="Data Dictionary" sheetId="10" state="visible" r:id="rId12"/>
    <sheet name="P1_Sort_LastName" sheetId="11" state="visible" r:id="rId13"/>
    <sheet name="P1_Sort_Group" sheetId="12" state="visible" r:id="rId14"/>
    <sheet name="P1_Filter_Group" sheetId="13" state="visible" r:id="rId15"/>
    <sheet name="P1_Filter_2_Conditions" sheetId="14" state="visible" r:id="rId16"/>
    <sheet name="P1_Search" sheetId="15" state="visible" r:id="rId17"/>
  </sheets>
  <definedNames>
    <definedName function="false" hidden="true" localSheetId="5" name="_xlnm._FilterDatabase" vbProcedure="false">Classrooms!$A$1:$D$16</definedName>
    <definedName function="false" hidden="true" localSheetId="4" name="_xlnm._FilterDatabase" vbProcedure="false">Courses!$A$1:$D$17</definedName>
    <definedName function="false" hidden="true" localSheetId="3" name="_xlnm._FilterDatabase" vbProcedure="false">Departments!$A$1:$D$16</definedName>
    <definedName function="false" hidden="true" localSheetId="7" name="_xlnm._FilterDatabase" vbProcedure="false">Enrollments!$A$1:$F$91</definedName>
    <definedName function="false" hidden="true" localSheetId="8" name="_xlnm._FilterDatabase" vbProcedure="false">Grades!$A$1:$E$76</definedName>
    <definedName function="false" hidden="true" localSheetId="1" name="_xlnm._FilterDatabase" vbProcedure="false">Groups!$A$1:$D$16</definedName>
    <definedName function="false" hidden="true" localSheetId="13" name="_xlnm._FilterDatabase" vbProcedure="false">P1_Filter_2_Conditions!$A$3:$H$33</definedName>
    <definedName function="false" hidden="true" localSheetId="12" name="_xlnm._FilterDatabase" vbProcedure="false">P1_Filter_Group!$A$3:$H$33</definedName>
    <definedName function="false" hidden="true" localSheetId="11" name="_xlnm._FilterDatabase" vbProcedure="false">P1_Sort_Group!$A$3:$H$33</definedName>
    <definedName function="false" hidden="true" localSheetId="10" name="_xlnm._FilterDatabase" vbProcedure="false">P1_Sort_LastName!$A$3:$H$33</definedName>
    <definedName function="false" hidden="true" localSheetId="6" name="_xlnm._FilterDatabase" vbProcedure="false">Schedule!$A$1:$H$31</definedName>
    <definedName function="false" hidden="true" localSheetId="0" name="_xlnm._FilterDatabase" vbProcedure="false">Students!$A$1:$G$31</definedName>
    <definedName function="false" hidden="true" localSheetId="2" name="_xlnm._FilterDatabase" vbProcedure="false">Teachers!$A$1:$F$18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<sst xmlns="http://schemas.openxmlformats.org/spreadsheetml/2006/main" count="1241" uniqueCount="361">
  <si>
    <t xml:space="preserve">student_id</t>
  </si>
  <si>
    <t xml:space="preserve">first_name</t>
  </si>
  <si>
    <t xml:space="preserve">last_name</t>
  </si>
  <si>
    <t xml:space="preserve">birth_date</t>
  </si>
  <si>
    <t xml:space="preserve">email</t>
  </si>
  <si>
    <t xml:space="preserve">phone</t>
  </si>
  <si>
    <t xml:space="preserve">group_id</t>
  </si>
  <si>
    <t xml:space="preserve">Aruzhan</t>
  </si>
  <si>
    <t xml:space="preserve">Nurlanova</t>
  </si>
  <si>
    <t xml:space="preserve">aruzhan.nurlanova@stud.univ.edu.kz</t>
  </si>
  <si>
    <t xml:space="preserve">+7 7010 318 36 16</t>
  </si>
  <si>
    <t xml:space="preserve">Nursultan</t>
  </si>
  <si>
    <t xml:space="preserve">Serikov</t>
  </si>
  <si>
    <t xml:space="preserve">nursultan.serikov@stud.univ.edu.kz</t>
  </si>
  <si>
    <t xml:space="preserve">+7 7060 529 19 82</t>
  </si>
  <si>
    <t xml:space="preserve">Dias</t>
  </si>
  <si>
    <t xml:space="preserve">Abdrakhmanov</t>
  </si>
  <si>
    <t xml:space="preserve">dias.abdrakhmanov@stud.univ.edu.kz</t>
  </si>
  <si>
    <t xml:space="preserve">+7 7044 444 21 49</t>
  </si>
  <si>
    <t xml:space="preserve">Aisha</t>
  </si>
  <si>
    <t xml:space="preserve">Kenzhebayeva</t>
  </si>
  <si>
    <t xml:space="preserve">aisha.kenzhebayeva@stud.univ.edu.kz</t>
  </si>
  <si>
    <t xml:space="preserve">+7 7025 237 41 22</t>
  </si>
  <si>
    <t xml:space="preserve">Yerkebulan</t>
  </si>
  <si>
    <t xml:space="preserve">Tokhtarov</t>
  </si>
  <si>
    <t xml:space="preserve">yerkebulan.tokhtarov@stud.univ.edu.kz</t>
  </si>
  <si>
    <t xml:space="preserve">+7 7072 281 97 81</t>
  </si>
  <si>
    <t xml:space="preserve">Dilnaz</t>
  </si>
  <si>
    <t xml:space="preserve">Muratova</t>
  </si>
  <si>
    <t xml:space="preserve">dilnaz.muratova@stud.univ.edu.kz</t>
  </si>
  <si>
    <t xml:space="preserve">+7 7034 849 26 63</t>
  </si>
  <si>
    <t xml:space="preserve">Alikhan</t>
  </si>
  <si>
    <t xml:space="preserve">Baimukhanov</t>
  </si>
  <si>
    <t xml:space="preserve">alikhan.baimukhanov@stud.univ.edu.kz</t>
  </si>
  <si>
    <t xml:space="preserve">+7 7060 530 37 10</t>
  </si>
  <si>
    <t xml:space="preserve">Tomiris</t>
  </si>
  <si>
    <t xml:space="preserve">Yesenova</t>
  </si>
  <si>
    <t xml:space="preserve">tomiris.yesenova@stud.univ.edu.kz</t>
  </si>
  <si>
    <t xml:space="preserve">+7 7012 315 33 60</t>
  </si>
  <si>
    <t xml:space="preserve">Sanzhar</t>
  </si>
  <si>
    <t xml:space="preserve">Zhaksylykov</t>
  </si>
  <si>
    <t xml:space="preserve">sanzhar.zhaksylykov@stud.univ.edu.kz</t>
  </si>
  <si>
    <t xml:space="preserve">+7 7022 143 28 37</t>
  </si>
  <si>
    <t xml:space="preserve">Ayaulym</t>
  </si>
  <si>
    <t xml:space="preserve">Kairatova</t>
  </si>
  <si>
    <t xml:space="preserve">ayaulym.kairatova@stud.univ.edu.kz</t>
  </si>
  <si>
    <t xml:space="preserve">+7 7052 950 47 59</t>
  </si>
  <si>
    <t xml:space="preserve">Bekzat</t>
  </si>
  <si>
    <t xml:space="preserve">Amanov</t>
  </si>
  <si>
    <t xml:space="preserve">bekzat.amanov@stud.univ.edu.kz</t>
  </si>
  <si>
    <t xml:space="preserve">+7 7036 696 91 41</t>
  </si>
  <si>
    <t xml:space="preserve">Zarina</t>
  </si>
  <si>
    <t xml:space="preserve">Sultanova</t>
  </si>
  <si>
    <t xml:space="preserve">zarina.sultanova@stud.univ.edu.kz</t>
  </si>
  <si>
    <t xml:space="preserve">+7 7057 737 68 26</t>
  </si>
  <si>
    <t xml:space="preserve">Arman</t>
  </si>
  <si>
    <t xml:space="preserve">Bekov</t>
  </si>
  <si>
    <t xml:space="preserve">arman.bekov@stud.univ.edu.kz</t>
  </si>
  <si>
    <t xml:space="preserve">+7 7027 987 59 33</t>
  </si>
  <si>
    <t xml:space="preserve">Inkar</t>
  </si>
  <si>
    <t xml:space="preserve">Omarova</t>
  </si>
  <si>
    <t xml:space="preserve">inkar.omarova@stud.univ.edu.kz</t>
  </si>
  <si>
    <t xml:space="preserve">+7 7039 937 88 41</t>
  </si>
  <si>
    <t xml:space="preserve">Temirlan</t>
  </si>
  <si>
    <t xml:space="preserve">Kuanyshev</t>
  </si>
  <si>
    <t xml:space="preserve">temirlan.kuanyshev@stud.univ.edu.kz</t>
  </si>
  <si>
    <t xml:space="preserve">+7 7035 803 59 71</t>
  </si>
  <si>
    <t xml:space="preserve">Moldir</t>
  </si>
  <si>
    <t xml:space="preserve">Askarova</t>
  </si>
  <si>
    <t xml:space="preserve">moldir.askarova@stud.univ.edu.kz</t>
  </si>
  <si>
    <t xml:space="preserve">+7 7016 206 23 14</t>
  </si>
  <si>
    <t xml:space="preserve">Adil</t>
  </si>
  <si>
    <t xml:space="preserve">Dosmukhamedov</t>
  </si>
  <si>
    <t xml:space="preserve">adil.dosmukhamedov@stud.univ.edu.kz</t>
  </si>
  <si>
    <t xml:space="preserve">+7 7060 363 63 86</t>
  </si>
  <si>
    <t xml:space="preserve">Akbota</t>
  </si>
  <si>
    <t xml:space="preserve">Ibrayeva</t>
  </si>
  <si>
    <t xml:space="preserve">akbota.ibrayeva@stud.univ.edu.kz</t>
  </si>
  <si>
    <t xml:space="preserve">+7 7032 837 18 26</t>
  </si>
  <si>
    <t xml:space="preserve">Nurasyl</t>
  </si>
  <si>
    <t xml:space="preserve">Shaikenov</t>
  </si>
  <si>
    <t xml:space="preserve">nurasyl.shaikenov@stud.univ.edu.kz</t>
  </si>
  <si>
    <t xml:space="preserve">+7 7019 386 37 36</t>
  </si>
  <si>
    <t xml:space="preserve">Diana</t>
  </si>
  <si>
    <t xml:space="preserve">Alieva</t>
  </si>
  <si>
    <t xml:space="preserve">diana.alieva@stud.univ.edu.kz</t>
  </si>
  <si>
    <t xml:space="preserve">+7 7044 521 67 41</t>
  </si>
  <si>
    <t xml:space="preserve">Miras</t>
  </si>
  <si>
    <t xml:space="preserve">Zhunusov</t>
  </si>
  <si>
    <t xml:space="preserve">miras.zhunusov@stud.univ.edu.kz</t>
  </si>
  <si>
    <t xml:space="preserve">+7 7046 477 77 83</t>
  </si>
  <si>
    <t xml:space="preserve">Aidana</t>
  </si>
  <si>
    <t xml:space="preserve">Kaliyeva</t>
  </si>
  <si>
    <t xml:space="preserve">aidana.kaliyeva@stud.univ.edu.kz</t>
  </si>
  <si>
    <t xml:space="preserve">+7 7027 561 52 94</t>
  </si>
  <si>
    <t xml:space="preserve">Daniyar</t>
  </si>
  <si>
    <t xml:space="preserve">Berikov</t>
  </si>
  <si>
    <t xml:space="preserve">daniyar.berikov@stud.univ.edu.kz</t>
  </si>
  <si>
    <t xml:space="preserve">+7 7027 704 14 12</t>
  </si>
  <si>
    <t xml:space="preserve">Kamilla</t>
  </si>
  <si>
    <t xml:space="preserve">Temirova</t>
  </si>
  <si>
    <t xml:space="preserve">kamilla.temirova@stud.univ.edu.kz</t>
  </si>
  <si>
    <t xml:space="preserve">+7 7049 134 12 86</t>
  </si>
  <si>
    <t xml:space="preserve">Askar</t>
  </si>
  <si>
    <t xml:space="preserve">Seitkali</t>
  </si>
  <si>
    <t xml:space="preserve">askar.seitkali@stud.univ.edu.kz</t>
  </si>
  <si>
    <t xml:space="preserve">+7 7018 848 49 50</t>
  </si>
  <si>
    <t xml:space="preserve">Sabina</t>
  </si>
  <si>
    <t xml:space="preserve">Mukhametova</t>
  </si>
  <si>
    <t xml:space="preserve">sabina.mukhametova@stud.univ.edu.kz</t>
  </si>
  <si>
    <t xml:space="preserve">+7 7067 659 57 15</t>
  </si>
  <si>
    <t xml:space="preserve">Olzhas</t>
  </si>
  <si>
    <t xml:space="preserve">Orynbassarov</t>
  </si>
  <si>
    <t xml:space="preserve">olzhas.orynbassarov@stud.univ.edu.kz</t>
  </si>
  <si>
    <t xml:space="preserve">+7 7026 912 53 55</t>
  </si>
  <si>
    <t xml:space="preserve">Malika</t>
  </si>
  <si>
    <t xml:space="preserve">Nazarbekova</t>
  </si>
  <si>
    <t xml:space="preserve">malika.nazarbekova@stud.univ.edu.kz</t>
  </si>
  <si>
    <t xml:space="preserve">+7 7019 992 63 13</t>
  </si>
  <si>
    <t xml:space="preserve">Rauan</t>
  </si>
  <si>
    <t xml:space="preserve">Kuandykov</t>
  </si>
  <si>
    <t xml:space="preserve">rauan.kuandykov@stud.univ.edu.kz</t>
  </si>
  <si>
    <t xml:space="preserve">+7 7058 488 84 11</t>
  </si>
  <si>
    <t xml:space="preserve">Assem</t>
  </si>
  <si>
    <t xml:space="preserve">Yerzhanova</t>
  </si>
  <si>
    <t xml:space="preserve">assem.yerzhanova@stud.univ.edu.kz</t>
  </si>
  <si>
    <t xml:space="preserve">+7 7021 754 24 42</t>
  </si>
  <si>
    <t xml:space="preserve">group_name</t>
  </si>
  <si>
    <t xml:space="preserve">study_year</t>
  </si>
  <si>
    <t xml:space="preserve">department_id</t>
  </si>
  <si>
    <t xml:space="preserve">IS-23</t>
  </si>
  <si>
    <t xml:space="preserve">IS-24</t>
  </si>
  <si>
    <t xml:space="preserve">IS-25</t>
  </si>
  <si>
    <t xml:space="preserve">CE-23</t>
  </si>
  <si>
    <t xml:space="preserve">CE-24</t>
  </si>
  <si>
    <t xml:space="preserve">CE-25</t>
  </si>
  <si>
    <t xml:space="preserve">MATH-24</t>
  </si>
  <si>
    <t xml:space="preserve">ECON-23</t>
  </si>
  <si>
    <t xml:space="preserve">ECON-25</t>
  </si>
  <si>
    <t xml:space="preserve">PE-24</t>
  </si>
  <si>
    <t xml:space="preserve">PE-25</t>
  </si>
  <si>
    <t xml:space="preserve">ACC-24</t>
  </si>
  <si>
    <t xml:space="preserve">LAW-23</t>
  </si>
  <si>
    <t xml:space="preserve">ECO-25</t>
  </si>
  <si>
    <t xml:space="preserve">FL-24</t>
  </si>
  <si>
    <t xml:space="preserve">teacher_id</t>
  </si>
  <si>
    <t xml:space="preserve">Gaukhar</t>
  </si>
  <si>
    <t xml:space="preserve">Mustafina</t>
  </si>
  <si>
    <t xml:space="preserve">g.mustafina@univ.edu.kz</t>
  </si>
  <si>
    <t xml:space="preserve">+7 7067 986 81 69</t>
  </si>
  <si>
    <t xml:space="preserve">Nurlan</t>
  </si>
  <si>
    <t xml:space="preserve">Akhmetov</t>
  </si>
  <si>
    <t xml:space="preserve">n.akhmetov@univ.edu.kz</t>
  </si>
  <si>
    <t xml:space="preserve">+7 7067 620 85 34</t>
  </si>
  <si>
    <t xml:space="preserve">Saule</t>
  </si>
  <si>
    <t xml:space="preserve">Zhumabayeva</t>
  </si>
  <si>
    <t xml:space="preserve">s.zhumabayeva@univ.edu.kz</t>
  </si>
  <si>
    <t xml:space="preserve">+7 7033 923 75 70</t>
  </si>
  <si>
    <t xml:space="preserve">Yerlan</t>
  </si>
  <si>
    <t xml:space="preserve">Sadykov</t>
  </si>
  <si>
    <t xml:space="preserve">y.sadykov@univ.edu.kz</t>
  </si>
  <si>
    <t xml:space="preserve">+7 7033 196 67 48</t>
  </si>
  <si>
    <t xml:space="preserve">Gulnara</t>
  </si>
  <si>
    <t xml:space="preserve">Bekova</t>
  </si>
  <si>
    <t xml:space="preserve">g.bekova@univ.edu.kz</t>
  </si>
  <si>
    <t xml:space="preserve">+7 7028 192 78 98</t>
  </si>
  <si>
    <t xml:space="preserve">Marat</t>
  </si>
  <si>
    <t xml:space="preserve">Iskakov</t>
  </si>
  <si>
    <t xml:space="preserve">m.iskakov@univ.edu.kz</t>
  </si>
  <si>
    <t xml:space="preserve">+7 7015 709 60 67</t>
  </si>
  <si>
    <t xml:space="preserve">Dana</t>
  </si>
  <si>
    <t xml:space="preserve">Nurpeisova</t>
  </si>
  <si>
    <t xml:space="preserve">d.nurpeisova@univ.edu.kz</t>
  </si>
  <si>
    <t xml:space="preserve">+7 7030 738 11 77</t>
  </si>
  <si>
    <t xml:space="preserve">Bolat</t>
  </si>
  <si>
    <t xml:space="preserve">Tulegenov</t>
  </si>
  <si>
    <t xml:space="preserve">b.tulegenov@univ.edu.kz</t>
  </si>
  <si>
    <t xml:space="preserve">+7 7018 160 14 34</t>
  </si>
  <si>
    <t xml:space="preserve">Asel</t>
  </si>
  <si>
    <t xml:space="preserve">Kassymova</t>
  </si>
  <si>
    <t xml:space="preserve">a.kassymova@univ.edu.kz</t>
  </si>
  <si>
    <t xml:space="preserve">+7 7040 714 13 69</t>
  </si>
  <si>
    <t xml:space="preserve">Timur</t>
  </si>
  <si>
    <t xml:space="preserve">Ospanov</t>
  </si>
  <si>
    <t xml:space="preserve">t.ospanov@univ.edu.kz</t>
  </si>
  <si>
    <t xml:space="preserve">+7 7051 551 85 35</t>
  </si>
  <si>
    <t xml:space="preserve">Zhanar</t>
  </si>
  <si>
    <t xml:space="preserve">Abenova</t>
  </si>
  <si>
    <t xml:space="preserve">z.abenova@univ.edu.kz</t>
  </si>
  <si>
    <t xml:space="preserve">+7 7076 339 91 47</t>
  </si>
  <si>
    <t xml:space="preserve">Serik</t>
  </si>
  <si>
    <t xml:space="preserve">Mukhanov</t>
  </si>
  <si>
    <t xml:space="preserve">s.mukhanov@univ.edu.kz</t>
  </si>
  <si>
    <t xml:space="preserve">+7 7073 104 94 20</t>
  </si>
  <si>
    <t xml:space="preserve">Madina</t>
  </si>
  <si>
    <t xml:space="preserve">Rakhimova</t>
  </si>
  <si>
    <t xml:space="preserve">m.rakhimova@univ.edu.kz</t>
  </si>
  <si>
    <t xml:space="preserve">+7 7068 770 45 62</t>
  </si>
  <si>
    <t xml:space="preserve">Ruslan</t>
  </si>
  <si>
    <t xml:space="preserve">Karimov</t>
  </si>
  <si>
    <t xml:space="preserve">r.karimov@univ.edu.kz</t>
  </si>
  <si>
    <t xml:space="preserve">+7 7020 824 42 50</t>
  </si>
  <si>
    <t xml:space="preserve">Aliya</t>
  </si>
  <si>
    <t xml:space="preserve">Dzhaksybekova</t>
  </si>
  <si>
    <t xml:space="preserve">a.dzhaksybekova@univ.edu.kz</t>
  </si>
  <si>
    <t xml:space="preserve">+7 7039 625 46 13</t>
  </si>
  <si>
    <t xml:space="preserve">Daulet</t>
  </si>
  <si>
    <t xml:space="preserve">Utegenov</t>
  </si>
  <si>
    <t xml:space="preserve">d.utegenov@univ.edu.kz</t>
  </si>
  <si>
    <t xml:space="preserve">+7 7018 676 23 61</t>
  </si>
  <si>
    <t xml:space="preserve">Kamila</t>
  </si>
  <si>
    <t xml:space="preserve">Saparova</t>
  </si>
  <si>
    <t xml:space="preserve">k.saparova@univ.edu.kz</t>
  </si>
  <si>
    <t xml:space="preserve">+7 7023 966 47 59</t>
  </si>
  <si>
    <t xml:space="preserve">department_name</t>
  </si>
  <si>
    <t xml:space="preserve">office_number</t>
  </si>
  <si>
    <t xml:space="preserve">Information Systems</t>
  </si>
  <si>
    <t xml:space="preserve">A-210</t>
  </si>
  <si>
    <t xml:space="preserve">+7 7122 30-11-01</t>
  </si>
  <si>
    <t xml:space="preserve">Computer Engineering</t>
  </si>
  <si>
    <t xml:space="preserve">A-215</t>
  </si>
  <si>
    <t xml:space="preserve">+7 7122 30-11-02</t>
  </si>
  <si>
    <t xml:space="preserve">Mathematics</t>
  </si>
  <si>
    <t xml:space="preserve">B-120</t>
  </si>
  <si>
    <t xml:space="preserve">+7 7122 30-11-03</t>
  </si>
  <si>
    <t xml:space="preserve">Economics</t>
  </si>
  <si>
    <t xml:space="preserve">C-301</t>
  </si>
  <si>
    <t xml:space="preserve">+7 7122 30-11-04</t>
  </si>
  <si>
    <t xml:space="preserve">Foreign Languages</t>
  </si>
  <si>
    <t xml:space="preserve">C-205</t>
  </si>
  <si>
    <t xml:space="preserve">+7 7122 30-11-05</t>
  </si>
  <si>
    <t xml:space="preserve">Physics</t>
  </si>
  <si>
    <t xml:space="preserve">B-305</t>
  </si>
  <si>
    <t xml:space="preserve">+7 7122 30-11-06</t>
  </si>
  <si>
    <t xml:space="preserve">Petroleum Engineering</t>
  </si>
  <si>
    <t xml:space="preserve">D-201</t>
  </si>
  <si>
    <t xml:space="preserve">+7 7122 30-11-07</t>
  </si>
  <si>
    <t xml:space="preserve">Chemistry</t>
  </si>
  <si>
    <t xml:space="preserve">D-204</t>
  </si>
  <si>
    <t xml:space="preserve">+7 7122 30-11-08</t>
  </si>
  <si>
    <t xml:space="preserve">History of Kazakhstan</t>
  </si>
  <si>
    <t xml:space="preserve">A-110</t>
  </si>
  <si>
    <t xml:space="preserve">+7 7122 30-11-09</t>
  </si>
  <si>
    <t xml:space="preserve">Philosophy</t>
  </si>
  <si>
    <t xml:space="preserve">A-112</t>
  </si>
  <si>
    <t xml:space="preserve">+7 7122 30-11-10</t>
  </si>
  <si>
    <t xml:space="preserve">Accounting and Audit</t>
  </si>
  <si>
    <t xml:space="preserve">C-310</t>
  </si>
  <si>
    <t xml:space="preserve">+7 7122 30-11-11</t>
  </si>
  <si>
    <t xml:space="preserve">Ecology</t>
  </si>
  <si>
    <t xml:space="preserve">D-306</t>
  </si>
  <si>
    <t xml:space="preserve">+7 7122 30-11-12</t>
  </si>
  <si>
    <t xml:space="preserve">Physical Education</t>
  </si>
  <si>
    <t xml:space="preserve">SC-02</t>
  </si>
  <si>
    <t xml:space="preserve">+7 7122 30-11-13</t>
  </si>
  <si>
    <t xml:space="preserve">Law</t>
  </si>
  <si>
    <t xml:space="preserve">A-305</t>
  </si>
  <si>
    <t xml:space="preserve">+7 7122 30-11-14</t>
  </si>
  <si>
    <t xml:space="preserve">Pedagogy</t>
  </si>
  <si>
    <t xml:space="preserve">A-320</t>
  </si>
  <si>
    <t xml:space="preserve">+7 7122 30-11-15</t>
  </si>
  <si>
    <t xml:space="preserve">course_id</t>
  </si>
  <si>
    <t xml:space="preserve">course_name</t>
  </si>
  <si>
    <t xml:space="preserve">credits</t>
  </si>
  <si>
    <t xml:space="preserve">Database Design and Data Management</t>
  </si>
  <si>
    <t xml:space="preserve">Algorithms and Data Structures</t>
  </si>
  <si>
    <t xml:space="preserve">Calculus I</t>
  </si>
  <si>
    <t xml:space="preserve">Microeconomics</t>
  </si>
  <si>
    <t xml:space="preserve">Professional English</t>
  </si>
  <si>
    <t xml:space="preserve">Modern History of Kazakhstan</t>
  </si>
  <si>
    <t xml:space="preserve">Web Programming</t>
  </si>
  <si>
    <t xml:space="preserve">Computer Networks</t>
  </si>
  <si>
    <t xml:space="preserve">Linear Algebra</t>
  </si>
  <si>
    <t xml:space="preserve">General Physics</t>
  </si>
  <si>
    <t xml:space="preserve">Drilling Technology</t>
  </si>
  <si>
    <t xml:space="preserve">Financial Accounting</t>
  </si>
  <si>
    <t xml:space="preserve">Constitutional Law</t>
  </si>
  <si>
    <t xml:space="preserve">Environmental Monitoring</t>
  </si>
  <si>
    <t xml:space="preserve">classroom_id</t>
  </si>
  <si>
    <t xml:space="preserve">building</t>
  </si>
  <si>
    <t xml:space="preserve">room_number</t>
  </si>
  <si>
    <t xml:space="preserve">capacity</t>
  </si>
  <si>
    <t xml:space="preserve">Main Building</t>
  </si>
  <si>
    <t xml:space="preserve">A-101</t>
  </si>
  <si>
    <t xml:space="preserve">A-102</t>
  </si>
  <si>
    <t xml:space="preserve">A-205</t>
  </si>
  <si>
    <t xml:space="preserve">A-207</t>
  </si>
  <si>
    <t xml:space="preserve">Building B</t>
  </si>
  <si>
    <t xml:space="preserve">B-110</t>
  </si>
  <si>
    <t xml:space="preserve">B-112</t>
  </si>
  <si>
    <t xml:space="preserve">B-214</t>
  </si>
  <si>
    <t xml:space="preserve">B-301</t>
  </si>
  <si>
    <t xml:space="preserve">Building C</t>
  </si>
  <si>
    <t xml:space="preserve">C-104</t>
  </si>
  <si>
    <t xml:space="preserve">C-210</t>
  </si>
  <si>
    <t xml:space="preserve">C-212</t>
  </si>
  <si>
    <t xml:space="preserve">Building D</t>
  </si>
  <si>
    <t xml:space="preserve">D-101</t>
  </si>
  <si>
    <t xml:space="preserve">D-205</t>
  </si>
  <si>
    <t xml:space="preserve">D-310</t>
  </si>
  <si>
    <t xml:space="preserve">Sports Complex</t>
  </si>
  <si>
    <t xml:space="preserve">SC-01</t>
  </si>
  <si>
    <t xml:space="preserve">schedule_id</t>
  </si>
  <si>
    <t xml:space="preserve">class_date</t>
  </si>
  <si>
    <t xml:space="preserve">start_time</t>
  </si>
  <si>
    <t xml:space="preserve">end_time</t>
  </si>
  <si>
    <t xml:space="preserve">enrollment_id</t>
  </si>
  <si>
    <t xml:space="preserve">semester</t>
  </si>
  <si>
    <t xml:space="preserve">academic_year</t>
  </si>
  <si>
    <t xml:space="preserve">status</t>
  </si>
  <si>
    <t xml:space="preserve">2025-2026</t>
  </si>
  <si>
    <t xml:space="preserve">Completed</t>
  </si>
  <si>
    <t xml:space="preserve">2026-2027</t>
  </si>
  <si>
    <t xml:space="preserve">Active</t>
  </si>
  <si>
    <t xml:space="preserve">Dropped</t>
  </si>
  <si>
    <t xml:space="preserve">grade_id</t>
  </si>
  <si>
    <t xml:space="preserve">grade_value</t>
  </si>
  <si>
    <t xml:space="preserve">grade_date</t>
  </si>
  <si>
    <t xml:space="preserve">table</t>
  </si>
  <si>
    <t xml:space="preserve">column</t>
  </si>
  <si>
    <t xml:space="preserve">data_type</t>
  </si>
  <si>
    <t xml:space="preserve">key / constraint</t>
  </si>
  <si>
    <t xml:space="preserve">Students</t>
  </si>
  <si>
    <t xml:space="preserve">Integer</t>
  </si>
  <si>
    <t xml:space="preserve">PK</t>
  </si>
  <si>
    <t xml:space="preserve">Text</t>
  </si>
  <si>
    <t xml:space="preserve">Date</t>
  </si>
  <si>
    <t xml:space="preserve">Unique</t>
  </si>
  <si>
    <t xml:space="preserve">FK → Groups</t>
  </si>
  <si>
    <t xml:space="preserve">Groups</t>
  </si>
  <si>
    <t xml:space="preserve">FK → Departments</t>
  </si>
  <si>
    <t xml:space="preserve">Teachers</t>
  </si>
  <si>
    <t xml:space="preserve">Departments</t>
  </si>
  <si>
    <t xml:space="preserve">Courses</t>
  </si>
  <si>
    <t xml:space="preserve">&gt; 0</t>
  </si>
  <si>
    <t xml:space="preserve">Classrooms</t>
  </si>
  <si>
    <t xml:space="preserve">Schedule</t>
  </si>
  <si>
    <t xml:space="preserve">FK → Courses</t>
  </si>
  <si>
    <t xml:space="preserve">FK → Teachers</t>
  </si>
  <si>
    <t xml:space="preserve">FK → Classrooms</t>
  </si>
  <si>
    <t xml:space="preserve">Time</t>
  </si>
  <si>
    <t xml:space="preserve">&lt; end_time</t>
  </si>
  <si>
    <t xml:space="preserve">&gt; start_time</t>
  </si>
  <si>
    <t xml:space="preserve">Enrollments</t>
  </si>
  <si>
    <t xml:space="preserve">FK → Students</t>
  </si>
  <si>
    <t xml:space="preserve">Active / Completed / Dropped</t>
  </si>
  <si>
    <t xml:space="preserve">Grades</t>
  </si>
  <si>
    <t xml:space="preserve">FK → Enrollments</t>
  </si>
  <si>
    <t xml:space="preserve">0–100</t>
  </si>
  <si>
    <t xml:space="preserve">Date format: YYYY-MM-DD. Time format: HH:MM (24-hour).</t>
  </si>
  <si>
    <t xml:space="preserve">study_year = year of study as of Fall 2026 (2026-2027 academic year).</t>
  </si>
  <si>
    <t xml:space="preserve">semester = semester number of study (1–8); academic_year written as YYYY-YYYY.</t>
  </si>
  <si>
    <t xml:space="preserve">Completed enrollments (2025-2026) have final grades; Active enrollments (2026-2027) have current-term grades for some students; Dropped enrollments have no grades.</t>
  </si>
  <si>
    <t xml:space="preserve">Each grade is given by the teacher who leads that course.</t>
  </si>
  <si>
    <t xml:space="preserve">Part 1.2 — Students sorted alphabetically by last_name (A→Z). Excel: Data → Sort → last_name, A to Z.</t>
  </si>
  <si>
    <t xml:space="preserve">Part 1.3 — Students sorted by group_id, then by last_name. Excel: Data → Sort → group_id, then add level last_name.</t>
  </si>
  <si>
    <t xml:space="preserve">Part 1.4 — Filter: only students of group 22 (IS-24). Excel: Data → Filter → group_id → tick 22. Hidden rows = other groups.</t>
  </si>
  <si>
    <t xml:space="preserve">Part 1.6 — Two conditions: group_id between 21 and 23 (Information Systems groups) AND birth_date on or after 2006-01-01. Excel: Number Filters on group_id + Date Filters on birth_date.</t>
  </si>
  <si>
    <t xml:space="preserve">Part 1.5 — Search for a student. Type a value in the yellow cell; the formulas find the record (Excel: Ctrl+F also works).</t>
  </si>
  <si>
    <t xml:space="preserve">Search by student_id:</t>
  </si>
  <si>
    <t xml:space="preserve">Search by last_name: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</si>
</sst>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EF3F8"/>
        <bgColor rgb="FFFFFFFF"/>
      </patternFill>
    </fill>
    <fill>
      <patternFill patternType="solid">
        <fgColor rgb="FFFFF2CC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1001</v>
      </c>
      <c r="B2" s="2" t="s">
        <v>7</v>
      </c>
      <c r="C2" s="2" t="s">
        <v>8</v>
      </c>
      <c r="D2" s="3" t="n">
        <v>38380</v>
      </c>
      <c r="E2" s="2" t="s">
        <v>9</v>
      </c>
      <c r="F2" s="2" t="s">
        <v>10</v>
      </c>
      <c r="G2" s="2" t="n">
        <v>21</v>
      </c>
    </row>
    <row r="3" customFormat="false" ht="15" hidden="false" customHeight="false" outlineLevel="0" collapsed="false">
      <c r="A3" s="4" t="n">
        <v>1002</v>
      </c>
      <c r="B3" s="4" t="s">
        <v>11</v>
      </c>
      <c r="C3" s="4" t="s">
        <v>12</v>
      </c>
      <c r="D3" s="5" t="n">
        <v>38921</v>
      </c>
      <c r="E3" s="4" t="s">
        <v>13</v>
      </c>
      <c r="F3" s="4" t="s">
        <v>14</v>
      </c>
      <c r="G3" s="4" t="n">
        <v>22</v>
      </c>
    </row>
    <row r="4" customFormat="false" ht="15" hidden="false" customHeight="false" outlineLevel="0" collapsed="false">
      <c r="A4" s="2" t="n">
        <v>1003</v>
      </c>
      <c r="B4" s="2" t="s">
        <v>15</v>
      </c>
      <c r="C4" s="2" t="s">
        <v>16</v>
      </c>
      <c r="D4" s="3" t="n">
        <v>38832</v>
      </c>
      <c r="E4" s="2" t="s">
        <v>17</v>
      </c>
      <c r="F4" s="2" t="s">
        <v>18</v>
      </c>
      <c r="G4" s="2" t="n">
        <v>23</v>
      </c>
    </row>
    <row r="5" customFormat="false" ht="15" hidden="false" customHeight="false" outlineLevel="0" collapsed="false">
      <c r="A5" s="4" t="n">
        <v>1004</v>
      </c>
      <c r="B5" s="4" t="s">
        <v>19</v>
      </c>
      <c r="C5" s="4" t="s">
        <v>20</v>
      </c>
      <c r="D5" s="5" t="n">
        <v>38366</v>
      </c>
      <c r="E5" s="4" t="s">
        <v>21</v>
      </c>
      <c r="F5" s="4" t="s">
        <v>22</v>
      </c>
      <c r="G5" s="4" t="n">
        <v>24</v>
      </c>
    </row>
    <row r="6" customFormat="false" ht="15" hidden="false" customHeight="false" outlineLevel="0" collapsed="false">
      <c r="A6" s="2" t="n">
        <v>1005</v>
      </c>
      <c r="B6" s="2" t="s">
        <v>23</v>
      </c>
      <c r="C6" s="2" t="s">
        <v>24</v>
      </c>
      <c r="D6" s="3" t="n">
        <v>38732</v>
      </c>
      <c r="E6" s="2" t="s">
        <v>25</v>
      </c>
      <c r="F6" s="2" t="s">
        <v>26</v>
      </c>
      <c r="G6" s="2" t="n">
        <v>25</v>
      </c>
    </row>
    <row r="7" customFormat="false" ht="15" hidden="false" customHeight="false" outlineLevel="0" collapsed="false">
      <c r="A7" s="4" t="n">
        <v>1006</v>
      </c>
      <c r="B7" s="4" t="s">
        <v>27</v>
      </c>
      <c r="C7" s="4" t="s">
        <v>28</v>
      </c>
      <c r="D7" s="5" t="n">
        <v>39311</v>
      </c>
      <c r="E7" s="4" t="s">
        <v>29</v>
      </c>
      <c r="F7" s="4" t="s">
        <v>30</v>
      </c>
      <c r="G7" s="4" t="n">
        <v>26</v>
      </c>
    </row>
    <row r="8" customFormat="false" ht="15" hidden="false" customHeight="false" outlineLevel="0" collapsed="false">
      <c r="A8" s="2" t="n">
        <v>1007</v>
      </c>
      <c r="B8" s="2" t="s">
        <v>31</v>
      </c>
      <c r="C8" s="2" t="s">
        <v>32</v>
      </c>
      <c r="D8" s="3" t="n">
        <v>38537</v>
      </c>
      <c r="E8" s="2" t="s">
        <v>33</v>
      </c>
      <c r="F8" s="2" t="s">
        <v>34</v>
      </c>
      <c r="G8" s="2" t="n">
        <v>27</v>
      </c>
    </row>
    <row r="9" customFormat="false" ht="15" hidden="false" customHeight="false" outlineLevel="0" collapsed="false">
      <c r="A9" s="4" t="n">
        <v>1008</v>
      </c>
      <c r="B9" s="4" t="s">
        <v>35</v>
      </c>
      <c r="C9" s="4" t="s">
        <v>36</v>
      </c>
      <c r="D9" s="5" t="n">
        <v>38635</v>
      </c>
      <c r="E9" s="4" t="s">
        <v>37</v>
      </c>
      <c r="F9" s="4" t="s">
        <v>38</v>
      </c>
      <c r="G9" s="4" t="n">
        <v>28</v>
      </c>
    </row>
    <row r="10" customFormat="false" ht="15" hidden="false" customHeight="false" outlineLevel="0" collapsed="false">
      <c r="A10" s="2" t="n">
        <v>1009</v>
      </c>
      <c r="B10" s="2" t="s">
        <v>39</v>
      </c>
      <c r="C10" s="2" t="s">
        <v>40</v>
      </c>
      <c r="D10" s="3" t="n">
        <v>39040</v>
      </c>
      <c r="E10" s="2" t="s">
        <v>41</v>
      </c>
      <c r="F10" s="2" t="s">
        <v>42</v>
      </c>
      <c r="G10" s="2" t="n">
        <v>29</v>
      </c>
    </row>
    <row r="11" customFormat="false" ht="15" hidden="false" customHeight="false" outlineLevel="0" collapsed="false">
      <c r="A11" s="4" t="n">
        <v>1010</v>
      </c>
      <c r="B11" s="4" t="s">
        <v>43</v>
      </c>
      <c r="C11" s="4" t="s">
        <v>44</v>
      </c>
      <c r="D11" s="5" t="n">
        <v>38838</v>
      </c>
      <c r="E11" s="4" t="s">
        <v>45</v>
      </c>
      <c r="F11" s="4" t="s">
        <v>46</v>
      </c>
      <c r="G11" s="4" t="n">
        <v>30</v>
      </c>
    </row>
    <row r="12" customFormat="false" ht="15" hidden="false" customHeight="false" outlineLevel="0" collapsed="false">
      <c r="A12" s="2" t="n">
        <v>1011</v>
      </c>
      <c r="B12" s="2" t="s">
        <v>47</v>
      </c>
      <c r="C12" s="2" t="s">
        <v>48</v>
      </c>
      <c r="D12" s="3" t="n">
        <v>39116</v>
      </c>
      <c r="E12" s="2" t="s">
        <v>49</v>
      </c>
      <c r="F12" s="2" t="s">
        <v>50</v>
      </c>
      <c r="G12" s="2" t="n">
        <v>31</v>
      </c>
    </row>
    <row r="13" customFormat="false" ht="15" hidden="false" customHeight="false" outlineLevel="0" collapsed="false">
      <c r="A13" s="4" t="n">
        <v>1012</v>
      </c>
      <c r="B13" s="4" t="s">
        <v>51</v>
      </c>
      <c r="C13" s="4" t="s">
        <v>52</v>
      </c>
      <c r="D13" s="5" t="n">
        <v>39002</v>
      </c>
      <c r="E13" s="4" t="s">
        <v>53</v>
      </c>
      <c r="F13" s="4" t="s">
        <v>54</v>
      </c>
      <c r="G13" s="4" t="n">
        <v>32</v>
      </c>
    </row>
    <row r="14" customFormat="false" ht="15" hidden="false" customHeight="false" outlineLevel="0" collapsed="false">
      <c r="A14" s="2" t="n">
        <v>1013</v>
      </c>
      <c r="B14" s="2" t="s">
        <v>55</v>
      </c>
      <c r="C14" s="2" t="s">
        <v>56</v>
      </c>
      <c r="D14" s="3" t="n">
        <v>38226</v>
      </c>
      <c r="E14" s="2" t="s">
        <v>57</v>
      </c>
      <c r="F14" s="2" t="s">
        <v>58</v>
      </c>
      <c r="G14" s="2" t="n">
        <v>33</v>
      </c>
    </row>
    <row r="15" customFormat="false" ht="15" hidden="false" customHeight="false" outlineLevel="0" collapsed="false">
      <c r="A15" s="4" t="n">
        <v>1014</v>
      </c>
      <c r="B15" s="4" t="s">
        <v>59</v>
      </c>
      <c r="C15" s="4" t="s">
        <v>60</v>
      </c>
      <c r="D15" s="5" t="n">
        <v>38786</v>
      </c>
      <c r="E15" s="4" t="s">
        <v>61</v>
      </c>
      <c r="F15" s="4" t="s">
        <v>62</v>
      </c>
      <c r="G15" s="4" t="n">
        <v>34</v>
      </c>
    </row>
    <row r="16" customFormat="false" ht="15" hidden="false" customHeight="false" outlineLevel="0" collapsed="false">
      <c r="A16" s="2" t="n">
        <v>1015</v>
      </c>
      <c r="B16" s="2" t="s">
        <v>63</v>
      </c>
      <c r="C16" s="2" t="s">
        <v>64</v>
      </c>
      <c r="D16" s="3" t="n">
        <v>38448</v>
      </c>
      <c r="E16" s="2" t="s">
        <v>65</v>
      </c>
      <c r="F16" s="2" t="s">
        <v>66</v>
      </c>
      <c r="G16" s="2" t="n">
        <v>35</v>
      </c>
    </row>
    <row r="17" customFormat="false" ht="15" hidden="false" customHeight="false" outlineLevel="0" collapsed="false">
      <c r="A17" s="4" t="n">
        <v>1016</v>
      </c>
      <c r="B17" s="4" t="s">
        <v>67</v>
      </c>
      <c r="C17" s="4" t="s">
        <v>68</v>
      </c>
      <c r="D17" s="5" t="n">
        <v>38031</v>
      </c>
      <c r="E17" s="4" t="s">
        <v>69</v>
      </c>
      <c r="F17" s="4" t="s">
        <v>70</v>
      </c>
      <c r="G17" s="4" t="n">
        <v>21</v>
      </c>
    </row>
    <row r="18" customFormat="false" ht="15" hidden="false" customHeight="false" outlineLevel="0" collapsed="false">
      <c r="A18" s="2" t="n">
        <v>1017</v>
      </c>
      <c r="B18" s="2" t="s">
        <v>71</v>
      </c>
      <c r="C18" s="2" t="s">
        <v>72</v>
      </c>
      <c r="D18" s="3" t="n">
        <v>38480</v>
      </c>
      <c r="E18" s="2" t="s">
        <v>73</v>
      </c>
      <c r="F18" s="2" t="s">
        <v>74</v>
      </c>
      <c r="G18" s="2" t="n">
        <v>22</v>
      </c>
    </row>
    <row r="19" customFormat="false" ht="15" hidden="false" customHeight="false" outlineLevel="0" collapsed="false">
      <c r="A19" s="4" t="n">
        <v>1018</v>
      </c>
      <c r="B19" s="4" t="s">
        <v>75</v>
      </c>
      <c r="C19" s="4" t="s">
        <v>76</v>
      </c>
      <c r="D19" s="5" t="n">
        <v>39219</v>
      </c>
      <c r="E19" s="4" t="s">
        <v>77</v>
      </c>
      <c r="F19" s="4" t="s">
        <v>78</v>
      </c>
      <c r="G19" s="4" t="n">
        <v>23</v>
      </c>
    </row>
    <row r="20" customFormat="false" ht="15" hidden="false" customHeight="false" outlineLevel="0" collapsed="false">
      <c r="A20" s="2" t="n">
        <v>1019</v>
      </c>
      <c r="B20" s="2" t="s">
        <v>79</v>
      </c>
      <c r="C20" s="2" t="s">
        <v>80</v>
      </c>
      <c r="D20" s="3" t="n">
        <v>38582</v>
      </c>
      <c r="E20" s="2" t="s">
        <v>81</v>
      </c>
      <c r="F20" s="2" t="s">
        <v>82</v>
      </c>
      <c r="G20" s="2" t="n">
        <v>24</v>
      </c>
    </row>
    <row r="21" customFormat="false" ht="15" hidden="false" customHeight="false" outlineLevel="0" collapsed="false">
      <c r="A21" s="4" t="n">
        <v>1020</v>
      </c>
      <c r="B21" s="4" t="s">
        <v>83</v>
      </c>
      <c r="C21" s="4" t="s">
        <v>84</v>
      </c>
      <c r="D21" s="5" t="n">
        <v>38355</v>
      </c>
      <c r="E21" s="4" t="s">
        <v>85</v>
      </c>
      <c r="F21" s="4" t="s">
        <v>86</v>
      </c>
      <c r="G21" s="4" t="n">
        <v>25</v>
      </c>
    </row>
    <row r="22" customFormat="false" ht="15" hidden="false" customHeight="false" outlineLevel="0" collapsed="false">
      <c r="A22" s="2" t="n">
        <v>1021</v>
      </c>
      <c r="B22" s="2" t="s">
        <v>87</v>
      </c>
      <c r="C22" s="2" t="s">
        <v>88</v>
      </c>
      <c r="D22" s="3" t="n">
        <v>39088</v>
      </c>
      <c r="E22" s="2" t="s">
        <v>89</v>
      </c>
      <c r="F22" s="2" t="s">
        <v>90</v>
      </c>
      <c r="G22" s="2" t="n">
        <v>26</v>
      </c>
    </row>
    <row r="23" customFormat="false" ht="15" hidden="false" customHeight="false" outlineLevel="0" collapsed="false">
      <c r="A23" s="4" t="n">
        <v>1022</v>
      </c>
      <c r="B23" s="4" t="s">
        <v>91</v>
      </c>
      <c r="C23" s="4" t="s">
        <v>92</v>
      </c>
      <c r="D23" s="5" t="n">
        <v>38760</v>
      </c>
      <c r="E23" s="4" t="s">
        <v>93</v>
      </c>
      <c r="F23" s="4" t="s">
        <v>94</v>
      </c>
      <c r="G23" s="4" t="n">
        <v>27</v>
      </c>
    </row>
    <row r="24" customFormat="false" ht="15" hidden="false" customHeight="false" outlineLevel="0" collapsed="false">
      <c r="A24" s="2" t="n">
        <v>1023</v>
      </c>
      <c r="B24" s="2" t="s">
        <v>95</v>
      </c>
      <c r="C24" s="2" t="s">
        <v>96</v>
      </c>
      <c r="D24" s="3" t="n">
        <v>38338</v>
      </c>
      <c r="E24" s="2" t="s">
        <v>97</v>
      </c>
      <c r="F24" s="2" t="s">
        <v>98</v>
      </c>
      <c r="G24" s="2" t="n">
        <v>28</v>
      </c>
    </row>
    <row r="25" customFormat="false" ht="15" hidden="false" customHeight="false" outlineLevel="0" collapsed="false">
      <c r="A25" s="4" t="n">
        <v>1024</v>
      </c>
      <c r="B25" s="4" t="s">
        <v>99</v>
      </c>
      <c r="C25" s="4" t="s">
        <v>100</v>
      </c>
      <c r="D25" s="5" t="n">
        <v>39256</v>
      </c>
      <c r="E25" s="4" t="s">
        <v>101</v>
      </c>
      <c r="F25" s="4" t="s">
        <v>102</v>
      </c>
      <c r="G25" s="4" t="n">
        <v>29</v>
      </c>
    </row>
    <row r="26" customFormat="false" ht="15" hidden="false" customHeight="false" outlineLevel="0" collapsed="false">
      <c r="A26" s="2" t="n">
        <v>1025</v>
      </c>
      <c r="B26" s="2" t="s">
        <v>103</v>
      </c>
      <c r="C26" s="2" t="s">
        <v>104</v>
      </c>
      <c r="D26" s="3" t="n">
        <v>38399</v>
      </c>
      <c r="E26" s="2" t="s">
        <v>105</v>
      </c>
      <c r="F26" s="2" t="s">
        <v>106</v>
      </c>
      <c r="G26" s="2" t="n">
        <v>30</v>
      </c>
    </row>
    <row r="27" customFormat="false" ht="15" hidden="false" customHeight="false" outlineLevel="0" collapsed="false">
      <c r="A27" s="4" t="n">
        <v>1026</v>
      </c>
      <c r="B27" s="4" t="s">
        <v>107</v>
      </c>
      <c r="C27" s="4" t="s">
        <v>108</v>
      </c>
      <c r="D27" s="5" t="n">
        <v>39116</v>
      </c>
      <c r="E27" s="4" t="s">
        <v>109</v>
      </c>
      <c r="F27" s="4" t="s">
        <v>110</v>
      </c>
      <c r="G27" s="4" t="n">
        <v>31</v>
      </c>
    </row>
    <row r="28" customFormat="false" ht="15" hidden="false" customHeight="false" outlineLevel="0" collapsed="false">
      <c r="A28" s="2" t="n">
        <v>1027</v>
      </c>
      <c r="B28" s="2" t="s">
        <v>111</v>
      </c>
      <c r="C28" s="2" t="s">
        <v>112</v>
      </c>
      <c r="D28" s="3" t="n">
        <v>38709</v>
      </c>
      <c r="E28" s="2" t="s">
        <v>113</v>
      </c>
      <c r="F28" s="2" t="s">
        <v>114</v>
      </c>
      <c r="G28" s="2" t="n">
        <v>32</v>
      </c>
    </row>
    <row r="29" customFormat="false" ht="15" hidden="false" customHeight="false" outlineLevel="0" collapsed="false">
      <c r="A29" s="4" t="n">
        <v>1028</v>
      </c>
      <c r="B29" s="4" t="s">
        <v>115</v>
      </c>
      <c r="C29" s="4" t="s">
        <v>116</v>
      </c>
      <c r="D29" s="5" t="n">
        <v>38672</v>
      </c>
      <c r="E29" s="4" t="s">
        <v>117</v>
      </c>
      <c r="F29" s="4" t="s">
        <v>118</v>
      </c>
      <c r="G29" s="4" t="n">
        <v>33</v>
      </c>
    </row>
    <row r="30" customFormat="false" ht="15" hidden="false" customHeight="false" outlineLevel="0" collapsed="false">
      <c r="A30" s="2" t="n">
        <v>1029</v>
      </c>
      <c r="B30" s="2" t="s">
        <v>119</v>
      </c>
      <c r="C30" s="2" t="s">
        <v>120</v>
      </c>
      <c r="D30" s="3" t="n">
        <v>39356</v>
      </c>
      <c r="E30" s="2" t="s">
        <v>121</v>
      </c>
      <c r="F30" s="2" t="s">
        <v>122</v>
      </c>
      <c r="G30" s="2" t="n">
        <v>34</v>
      </c>
    </row>
    <row r="31" customFormat="false" ht="15" hidden="false" customHeight="false" outlineLevel="0" collapsed="false">
      <c r="A31" s="4" t="n">
        <v>1030</v>
      </c>
      <c r="B31" s="4" t="s">
        <v>123</v>
      </c>
      <c r="C31" s="4" t="s">
        <v>124</v>
      </c>
      <c r="D31" s="5" t="n">
        <v>38386</v>
      </c>
      <c r="E31" s="4" t="s">
        <v>125</v>
      </c>
      <c r="F31" s="4" t="s">
        <v>126</v>
      </c>
      <c r="G31" s="4" t="n">
        <v>35</v>
      </c>
    </row>
  </sheetData>
  <autoFilter ref="A1:G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6</v>
      </c>
      <c r="B1" s="1" t="s">
        <v>127</v>
      </c>
      <c r="C1" s="1" t="s">
        <v>128</v>
      </c>
      <c r="D1" s="1" t="s">
        <v>129</v>
      </c>
    </row>
    <row r="2" customFormat="false" ht="15" hidden="false" customHeight="false" outlineLevel="0" collapsed="false">
      <c r="A2" s="2" t="n">
        <v>21</v>
      </c>
      <c r="B2" s="2" t="s">
        <v>130</v>
      </c>
      <c r="C2" s="2" t="n">
        <v>4</v>
      </c>
      <c r="D2" s="2" t="n">
        <v>1</v>
      </c>
    </row>
    <row r="3" customFormat="false" ht="15" hidden="false" customHeight="false" outlineLevel="0" collapsed="false">
      <c r="A3" s="4" t="n">
        <v>22</v>
      </c>
      <c r="B3" s="4" t="s">
        <v>131</v>
      </c>
      <c r="C3" s="4" t="n">
        <v>3</v>
      </c>
      <c r="D3" s="4" t="n">
        <v>1</v>
      </c>
    </row>
    <row r="4" customFormat="false" ht="15" hidden="false" customHeight="false" outlineLevel="0" collapsed="false">
      <c r="A4" s="2" t="n">
        <v>23</v>
      </c>
      <c r="B4" s="2" t="s">
        <v>132</v>
      </c>
      <c r="C4" s="2" t="n">
        <v>2</v>
      </c>
      <c r="D4" s="2" t="n">
        <v>1</v>
      </c>
    </row>
    <row r="5" customFormat="false" ht="15" hidden="false" customHeight="false" outlineLevel="0" collapsed="false">
      <c r="A5" s="4" t="n">
        <v>24</v>
      </c>
      <c r="B5" s="4" t="s">
        <v>133</v>
      </c>
      <c r="C5" s="4" t="n">
        <v>4</v>
      </c>
      <c r="D5" s="4" t="n">
        <v>2</v>
      </c>
    </row>
    <row r="6" customFormat="false" ht="15" hidden="false" customHeight="false" outlineLevel="0" collapsed="false">
      <c r="A6" s="2" t="n">
        <v>25</v>
      </c>
      <c r="B6" s="2" t="s">
        <v>134</v>
      </c>
      <c r="C6" s="2" t="n">
        <v>3</v>
      </c>
      <c r="D6" s="2" t="n">
        <v>2</v>
      </c>
    </row>
    <row r="7" customFormat="false" ht="15" hidden="false" customHeight="false" outlineLevel="0" collapsed="false">
      <c r="A7" s="4" t="n">
        <v>26</v>
      </c>
      <c r="B7" s="4" t="s">
        <v>135</v>
      </c>
      <c r="C7" s="4" t="n">
        <v>2</v>
      </c>
      <c r="D7" s="4" t="n">
        <v>2</v>
      </c>
    </row>
    <row r="8" customFormat="false" ht="15" hidden="false" customHeight="false" outlineLevel="0" collapsed="false">
      <c r="A8" s="2" t="n">
        <v>27</v>
      </c>
      <c r="B8" s="2" t="s">
        <v>136</v>
      </c>
      <c r="C8" s="2" t="n">
        <v>3</v>
      </c>
      <c r="D8" s="2" t="n">
        <v>3</v>
      </c>
    </row>
    <row r="9" customFormat="false" ht="15" hidden="false" customHeight="false" outlineLevel="0" collapsed="false">
      <c r="A9" s="4" t="n">
        <v>28</v>
      </c>
      <c r="B9" s="4" t="s">
        <v>137</v>
      </c>
      <c r="C9" s="4" t="n">
        <v>4</v>
      </c>
      <c r="D9" s="4" t="n">
        <v>4</v>
      </c>
    </row>
    <row r="10" customFormat="false" ht="15" hidden="false" customHeight="false" outlineLevel="0" collapsed="false">
      <c r="A10" s="2" t="n">
        <v>29</v>
      </c>
      <c r="B10" s="2" t="s">
        <v>138</v>
      </c>
      <c r="C10" s="2" t="n">
        <v>2</v>
      </c>
      <c r="D10" s="2" t="n">
        <v>4</v>
      </c>
    </row>
    <row r="11" customFormat="false" ht="15" hidden="false" customHeight="false" outlineLevel="0" collapsed="false">
      <c r="A11" s="4" t="n">
        <v>30</v>
      </c>
      <c r="B11" s="4" t="s">
        <v>139</v>
      </c>
      <c r="C11" s="4" t="n">
        <v>3</v>
      </c>
      <c r="D11" s="4" t="n">
        <v>7</v>
      </c>
    </row>
    <row r="12" customFormat="false" ht="15" hidden="false" customHeight="false" outlineLevel="0" collapsed="false">
      <c r="A12" s="2" t="n">
        <v>31</v>
      </c>
      <c r="B12" s="2" t="s">
        <v>140</v>
      </c>
      <c r="C12" s="2" t="n">
        <v>2</v>
      </c>
      <c r="D12" s="2" t="n">
        <v>7</v>
      </c>
    </row>
    <row r="13" customFormat="false" ht="15" hidden="false" customHeight="false" outlineLevel="0" collapsed="false">
      <c r="A13" s="4" t="n">
        <v>32</v>
      </c>
      <c r="B13" s="4" t="s">
        <v>141</v>
      </c>
      <c r="C13" s="4" t="n">
        <v>3</v>
      </c>
      <c r="D13" s="4" t="n">
        <v>11</v>
      </c>
    </row>
    <row r="14" customFormat="false" ht="15" hidden="false" customHeight="false" outlineLevel="0" collapsed="false">
      <c r="A14" s="2" t="n">
        <v>33</v>
      </c>
      <c r="B14" s="2" t="s">
        <v>142</v>
      </c>
      <c r="C14" s="2" t="n">
        <v>4</v>
      </c>
      <c r="D14" s="2" t="n">
        <v>14</v>
      </c>
    </row>
    <row r="15" customFormat="false" ht="15" hidden="false" customHeight="false" outlineLevel="0" collapsed="false">
      <c r="A15" s="4" t="n">
        <v>34</v>
      </c>
      <c r="B15" s="4" t="s">
        <v>143</v>
      </c>
      <c r="C15" s="4" t="n">
        <v>2</v>
      </c>
      <c r="D15" s="4" t="n">
        <v>12</v>
      </c>
    </row>
    <row r="16" customFormat="false" ht="15" hidden="false" customHeight="false" outlineLevel="0" collapsed="false">
      <c r="A16" s="2" t="n">
        <v>35</v>
      </c>
      <c r="B16" s="2" t="s">
        <v>144</v>
      </c>
      <c r="C16" s="2" t="n">
        <v>3</v>
      </c>
      <c r="D16" s="2" t="n">
        <v>5</v>
      </c>
    </row>
  </sheetData>
  <autoFilter ref="A1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145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129</v>
      </c>
    </row>
    <row r="2" customFormat="false" ht="15" hidden="false" customHeight="false" outlineLevel="0" collapsed="false">
      <c r="A2" s="2" t="n">
        <v>201</v>
      </c>
      <c r="B2" s="2" t="s">
        <v>146</v>
      </c>
      <c r="C2" s="2" t="s">
        <v>147</v>
      </c>
      <c r="D2" s="2" t="s">
        <v>148</v>
      </c>
      <c r="E2" s="2" t="s">
        <v>149</v>
      </c>
      <c r="F2" s="2" t="n">
        <v>1</v>
      </c>
    </row>
    <row r="3" customFormat="false" ht="15" hidden="false" customHeight="false" outlineLevel="0" collapsed="false">
      <c r="A3" s="4" t="n">
        <v>202</v>
      </c>
      <c r="B3" s="4" t="s">
        <v>150</v>
      </c>
      <c r="C3" s="4" t="s">
        <v>151</v>
      </c>
      <c r="D3" s="4" t="s">
        <v>152</v>
      </c>
      <c r="E3" s="4" t="s">
        <v>153</v>
      </c>
      <c r="F3" s="4" t="n">
        <v>1</v>
      </c>
    </row>
    <row r="4" customFormat="false" ht="15" hidden="false" customHeight="false" outlineLevel="0" collapsed="false">
      <c r="A4" s="2" t="n">
        <v>203</v>
      </c>
      <c r="B4" s="2" t="s">
        <v>154</v>
      </c>
      <c r="C4" s="2" t="s">
        <v>155</v>
      </c>
      <c r="D4" s="2" t="s">
        <v>156</v>
      </c>
      <c r="E4" s="2" t="s">
        <v>157</v>
      </c>
      <c r="F4" s="2" t="n">
        <v>2</v>
      </c>
    </row>
    <row r="5" customFormat="false" ht="15" hidden="false" customHeight="false" outlineLevel="0" collapsed="false">
      <c r="A5" s="4" t="n">
        <v>204</v>
      </c>
      <c r="B5" s="4" t="s">
        <v>158</v>
      </c>
      <c r="C5" s="4" t="s">
        <v>159</v>
      </c>
      <c r="D5" s="4" t="s">
        <v>160</v>
      </c>
      <c r="E5" s="4" t="s">
        <v>161</v>
      </c>
      <c r="F5" s="4" t="n">
        <v>3</v>
      </c>
    </row>
    <row r="6" customFormat="false" ht="15" hidden="false" customHeight="false" outlineLevel="0" collapsed="false">
      <c r="A6" s="2" t="n">
        <v>205</v>
      </c>
      <c r="B6" s="2" t="s">
        <v>162</v>
      </c>
      <c r="C6" s="2" t="s">
        <v>163</v>
      </c>
      <c r="D6" s="2" t="s">
        <v>164</v>
      </c>
      <c r="E6" s="2" t="s">
        <v>165</v>
      </c>
      <c r="F6" s="2" t="n">
        <v>4</v>
      </c>
    </row>
    <row r="7" customFormat="false" ht="15" hidden="false" customHeight="false" outlineLevel="0" collapsed="false">
      <c r="A7" s="4" t="n">
        <v>206</v>
      </c>
      <c r="B7" s="4" t="s">
        <v>166</v>
      </c>
      <c r="C7" s="4" t="s">
        <v>167</v>
      </c>
      <c r="D7" s="4" t="s">
        <v>168</v>
      </c>
      <c r="E7" s="4" t="s">
        <v>169</v>
      </c>
      <c r="F7" s="4" t="n">
        <v>5</v>
      </c>
    </row>
    <row r="8" customFormat="false" ht="15" hidden="false" customHeight="false" outlineLevel="0" collapsed="false">
      <c r="A8" s="2" t="n">
        <v>207</v>
      </c>
      <c r="B8" s="2" t="s">
        <v>170</v>
      </c>
      <c r="C8" s="2" t="s">
        <v>171</v>
      </c>
      <c r="D8" s="2" t="s">
        <v>172</v>
      </c>
      <c r="E8" s="2" t="s">
        <v>173</v>
      </c>
      <c r="F8" s="2" t="n">
        <v>10</v>
      </c>
    </row>
    <row r="9" customFormat="false" ht="15" hidden="false" customHeight="false" outlineLevel="0" collapsed="false">
      <c r="A9" s="4" t="n">
        <v>208</v>
      </c>
      <c r="B9" s="4" t="s">
        <v>174</v>
      </c>
      <c r="C9" s="4" t="s">
        <v>175</v>
      </c>
      <c r="D9" s="4" t="s">
        <v>176</v>
      </c>
      <c r="E9" s="4" t="s">
        <v>177</v>
      </c>
      <c r="F9" s="4" t="n">
        <v>9</v>
      </c>
    </row>
    <row r="10" customFormat="false" ht="15" hidden="false" customHeight="false" outlineLevel="0" collapsed="false">
      <c r="A10" s="2" t="n">
        <v>209</v>
      </c>
      <c r="B10" s="2" t="s">
        <v>178</v>
      </c>
      <c r="C10" s="2" t="s">
        <v>179</v>
      </c>
      <c r="D10" s="2" t="s">
        <v>180</v>
      </c>
      <c r="E10" s="2" t="s">
        <v>181</v>
      </c>
      <c r="F10" s="2" t="n">
        <v>1</v>
      </c>
    </row>
    <row r="11" customFormat="false" ht="15" hidden="false" customHeight="false" outlineLevel="0" collapsed="false">
      <c r="A11" s="4" t="n">
        <v>210</v>
      </c>
      <c r="B11" s="4" t="s">
        <v>182</v>
      </c>
      <c r="C11" s="4" t="s">
        <v>183</v>
      </c>
      <c r="D11" s="4" t="s">
        <v>184</v>
      </c>
      <c r="E11" s="4" t="s">
        <v>185</v>
      </c>
      <c r="F11" s="4" t="n">
        <v>2</v>
      </c>
    </row>
    <row r="12" customFormat="false" ht="15" hidden="false" customHeight="false" outlineLevel="0" collapsed="false">
      <c r="A12" s="2" t="n">
        <v>211</v>
      </c>
      <c r="B12" s="2" t="s">
        <v>186</v>
      </c>
      <c r="C12" s="2" t="s">
        <v>187</v>
      </c>
      <c r="D12" s="2" t="s">
        <v>188</v>
      </c>
      <c r="E12" s="2" t="s">
        <v>189</v>
      </c>
      <c r="F12" s="2" t="n">
        <v>3</v>
      </c>
    </row>
    <row r="13" customFormat="false" ht="15" hidden="false" customHeight="false" outlineLevel="0" collapsed="false">
      <c r="A13" s="4" t="n">
        <v>212</v>
      </c>
      <c r="B13" s="4" t="s">
        <v>190</v>
      </c>
      <c r="C13" s="4" t="s">
        <v>191</v>
      </c>
      <c r="D13" s="4" t="s">
        <v>192</v>
      </c>
      <c r="E13" s="4" t="s">
        <v>193</v>
      </c>
      <c r="F13" s="4" t="n">
        <v>6</v>
      </c>
    </row>
    <row r="14" customFormat="false" ht="15" hidden="false" customHeight="false" outlineLevel="0" collapsed="false">
      <c r="A14" s="2" t="n">
        <v>213</v>
      </c>
      <c r="B14" s="2" t="s">
        <v>194</v>
      </c>
      <c r="C14" s="2" t="s">
        <v>195</v>
      </c>
      <c r="D14" s="2" t="s">
        <v>196</v>
      </c>
      <c r="E14" s="2" t="s">
        <v>197</v>
      </c>
      <c r="F14" s="2" t="n">
        <v>7</v>
      </c>
    </row>
    <row r="15" customFormat="false" ht="15" hidden="false" customHeight="false" outlineLevel="0" collapsed="false">
      <c r="A15" s="4" t="n">
        <v>214</v>
      </c>
      <c r="B15" s="4" t="s">
        <v>198</v>
      </c>
      <c r="C15" s="4" t="s">
        <v>199</v>
      </c>
      <c r="D15" s="4" t="s">
        <v>200</v>
      </c>
      <c r="E15" s="4" t="s">
        <v>201</v>
      </c>
      <c r="F15" s="4" t="n">
        <v>11</v>
      </c>
    </row>
    <row r="16" customFormat="false" ht="15" hidden="false" customHeight="false" outlineLevel="0" collapsed="false">
      <c r="A16" s="2" t="n">
        <v>215</v>
      </c>
      <c r="B16" s="2" t="s">
        <v>202</v>
      </c>
      <c r="C16" s="2" t="s">
        <v>203</v>
      </c>
      <c r="D16" s="2" t="s">
        <v>204</v>
      </c>
      <c r="E16" s="2" t="s">
        <v>205</v>
      </c>
      <c r="F16" s="2" t="n">
        <v>14</v>
      </c>
    </row>
    <row r="17" customFormat="false" ht="15" hidden="false" customHeight="false" outlineLevel="0" collapsed="false">
      <c r="A17" s="4" t="n">
        <v>216</v>
      </c>
      <c r="B17" s="4" t="s">
        <v>206</v>
      </c>
      <c r="C17" s="4" t="s">
        <v>207</v>
      </c>
      <c r="D17" s="4" t="s">
        <v>208</v>
      </c>
      <c r="E17" s="4" t="s">
        <v>209</v>
      </c>
      <c r="F17" s="4" t="n">
        <v>13</v>
      </c>
    </row>
    <row r="18" customFormat="false" ht="15" hidden="false" customHeight="false" outlineLevel="0" collapsed="false">
      <c r="A18" s="2" t="n">
        <v>217</v>
      </c>
      <c r="B18" s="2" t="s">
        <v>210</v>
      </c>
      <c r="C18" s="2" t="s">
        <v>211</v>
      </c>
      <c r="D18" s="2" t="s">
        <v>212</v>
      </c>
      <c r="E18" s="2" t="s">
        <v>213</v>
      </c>
      <c r="F18" s="2" t="n">
        <v>12</v>
      </c>
    </row>
  </sheetData>
  <autoFilter ref="A1:F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1" t="s">
        <v>129</v>
      </c>
      <c r="B1" s="1" t="s">
        <v>214</v>
      </c>
      <c r="C1" s="1" t="s">
        <v>215</v>
      </c>
      <c r="D1" s="1" t="s">
        <v>5</v>
      </c>
    </row>
    <row r="2" customFormat="false" ht="15" hidden="false" customHeight="false" outlineLevel="0" collapsed="false">
      <c r="A2" s="2" t="n">
        <v>1</v>
      </c>
      <c r="B2" s="2" t="s">
        <v>216</v>
      </c>
      <c r="C2" s="2" t="s">
        <v>217</v>
      </c>
      <c r="D2" s="2" t="s">
        <v>218</v>
      </c>
    </row>
    <row r="3" customFormat="false" ht="15" hidden="false" customHeight="false" outlineLevel="0" collapsed="false">
      <c r="A3" s="4" t="n">
        <v>2</v>
      </c>
      <c r="B3" s="4" t="s">
        <v>219</v>
      </c>
      <c r="C3" s="4" t="s">
        <v>220</v>
      </c>
      <c r="D3" s="4" t="s">
        <v>221</v>
      </c>
    </row>
    <row r="4" customFormat="false" ht="15" hidden="false" customHeight="false" outlineLevel="0" collapsed="false">
      <c r="A4" s="2" t="n">
        <v>3</v>
      </c>
      <c r="B4" s="2" t="s">
        <v>222</v>
      </c>
      <c r="C4" s="2" t="s">
        <v>223</v>
      </c>
      <c r="D4" s="2" t="s">
        <v>224</v>
      </c>
    </row>
    <row r="5" customFormat="false" ht="15" hidden="false" customHeight="false" outlineLevel="0" collapsed="false">
      <c r="A5" s="4" t="n">
        <v>4</v>
      </c>
      <c r="B5" s="4" t="s">
        <v>225</v>
      </c>
      <c r="C5" s="4" t="s">
        <v>226</v>
      </c>
      <c r="D5" s="4" t="s">
        <v>227</v>
      </c>
    </row>
    <row r="6" customFormat="false" ht="15" hidden="false" customHeight="false" outlineLevel="0" collapsed="false">
      <c r="A6" s="2" t="n">
        <v>5</v>
      </c>
      <c r="B6" s="2" t="s">
        <v>228</v>
      </c>
      <c r="C6" s="2" t="s">
        <v>229</v>
      </c>
      <c r="D6" s="2" t="s">
        <v>230</v>
      </c>
    </row>
    <row r="7" customFormat="false" ht="15" hidden="false" customHeight="false" outlineLevel="0" collapsed="false">
      <c r="A7" s="4" t="n">
        <v>6</v>
      </c>
      <c r="B7" s="4" t="s">
        <v>231</v>
      </c>
      <c r="C7" s="4" t="s">
        <v>232</v>
      </c>
      <c r="D7" s="4" t="s">
        <v>233</v>
      </c>
    </row>
    <row r="8" customFormat="false" ht="15" hidden="false" customHeight="false" outlineLevel="0" collapsed="false">
      <c r="A8" s="2" t="n">
        <v>7</v>
      </c>
      <c r="B8" s="2" t="s">
        <v>234</v>
      </c>
      <c r="C8" s="2" t="s">
        <v>235</v>
      </c>
      <c r="D8" s="2" t="s">
        <v>236</v>
      </c>
    </row>
    <row r="9" customFormat="false" ht="15" hidden="false" customHeight="false" outlineLevel="0" collapsed="false">
      <c r="A9" s="4" t="n">
        <v>8</v>
      </c>
      <c r="B9" s="4" t="s">
        <v>237</v>
      </c>
      <c r="C9" s="4" t="s">
        <v>238</v>
      </c>
      <c r="D9" s="4" t="s">
        <v>239</v>
      </c>
    </row>
    <row r="10" customFormat="false" ht="15" hidden="false" customHeight="false" outlineLevel="0" collapsed="false">
      <c r="A10" s="2" t="n">
        <v>9</v>
      </c>
      <c r="B10" s="2" t="s">
        <v>240</v>
      </c>
      <c r="C10" s="2" t="s">
        <v>241</v>
      </c>
      <c r="D10" s="2" t="s">
        <v>242</v>
      </c>
    </row>
    <row r="11" customFormat="false" ht="15" hidden="false" customHeight="false" outlineLevel="0" collapsed="false">
      <c r="A11" s="4" t="n">
        <v>10</v>
      </c>
      <c r="B11" s="4" t="s">
        <v>243</v>
      </c>
      <c r="C11" s="4" t="s">
        <v>244</v>
      </c>
      <c r="D11" s="4" t="s">
        <v>245</v>
      </c>
    </row>
    <row r="12" customFormat="false" ht="15" hidden="false" customHeight="false" outlineLevel="0" collapsed="false">
      <c r="A12" s="2" t="n">
        <v>11</v>
      </c>
      <c r="B12" s="2" t="s">
        <v>246</v>
      </c>
      <c r="C12" s="2" t="s">
        <v>247</v>
      </c>
      <c r="D12" s="2" t="s">
        <v>248</v>
      </c>
    </row>
    <row r="13" customFormat="false" ht="15" hidden="false" customHeight="false" outlineLevel="0" collapsed="false">
      <c r="A13" s="4" t="n">
        <v>12</v>
      </c>
      <c r="B13" s="4" t="s">
        <v>249</v>
      </c>
      <c r="C13" s="4" t="s">
        <v>250</v>
      </c>
      <c r="D13" s="4" t="s">
        <v>251</v>
      </c>
    </row>
    <row r="14" customFormat="false" ht="15" hidden="false" customHeight="false" outlineLevel="0" collapsed="false">
      <c r="A14" s="2" t="n">
        <v>13</v>
      </c>
      <c r="B14" s="2" t="s">
        <v>252</v>
      </c>
      <c r="C14" s="2" t="s">
        <v>253</v>
      </c>
      <c r="D14" s="2" t="s">
        <v>254</v>
      </c>
    </row>
    <row r="15" customFormat="false" ht="15" hidden="false" customHeight="false" outlineLevel="0" collapsed="false">
      <c r="A15" s="4" t="n">
        <v>14</v>
      </c>
      <c r="B15" s="4" t="s">
        <v>255</v>
      </c>
      <c r="C15" s="4" t="s">
        <v>256</v>
      </c>
      <c r="D15" s="4" t="s">
        <v>257</v>
      </c>
    </row>
    <row r="16" customFormat="false" ht="15" hidden="false" customHeight="false" outlineLevel="0" collapsed="false">
      <c r="A16" s="2" t="n">
        <v>15</v>
      </c>
      <c r="B16" s="2" t="s">
        <v>258</v>
      </c>
      <c r="C16" s="2" t="s">
        <v>259</v>
      </c>
      <c r="D16" s="2" t="s">
        <v>260</v>
      </c>
    </row>
  </sheetData>
  <autoFilter ref="A1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261</v>
      </c>
      <c r="B1" s="1" t="s">
        <v>262</v>
      </c>
      <c r="C1" s="1" t="s">
        <v>263</v>
      </c>
      <c r="D1" s="1" t="s">
        <v>129</v>
      </c>
    </row>
    <row r="2" customFormat="false" ht="15" hidden="false" customHeight="false" outlineLevel="0" collapsed="false">
      <c r="A2" s="2" t="n">
        <v>301</v>
      </c>
      <c r="B2" s="2" t="s">
        <v>264</v>
      </c>
      <c r="C2" s="2" t="n">
        <v>5</v>
      </c>
      <c r="D2" s="2" t="n">
        <v>1</v>
      </c>
    </row>
    <row r="3" customFormat="false" ht="15" hidden="false" customHeight="false" outlineLevel="0" collapsed="false">
      <c r="A3" s="4" t="n">
        <v>302</v>
      </c>
      <c r="B3" s="4" t="s">
        <v>265</v>
      </c>
      <c r="C3" s="4" t="n">
        <v>5</v>
      </c>
      <c r="D3" s="4" t="n">
        <v>2</v>
      </c>
    </row>
    <row r="4" customFormat="false" ht="15" hidden="false" customHeight="false" outlineLevel="0" collapsed="false">
      <c r="A4" s="2" t="n">
        <v>303</v>
      </c>
      <c r="B4" s="2" t="s">
        <v>266</v>
      </c>
      <c r="C4" s="2" t="n">
        <v>5</v>
      </c>
      <c r="D4" s="2" t="n">
        <v>3</v>
      </c>
    </row>
    <row r="5" customFormat="false" ht="15" hidden="false" customHeight="false" outlineLevel="0" collapsed="false">
      <c r="A5" s="4" t="n">
        <v>304</v>
      </c>
      <c r="B5" s="4" t="s">
        <v>267</v>
      </c>
      <c r="C5" s="4" t="n">
        <v>5</v>
      </c>
      <c r="D5" s="4" t="n">
        <v>4</v>
      </c>
    </row>
    <row r="6" customFormat="false" ht="15" hidden="false" customHeight="false" outlineLevel="0" collapsed="false">
      <c r="A6" s="2" t="n">
        <v>305</v>
      </c>
      <c r="B6" s="2" t="s">
        <v>268</v>
      </c>
      <c r="C6" s="2" t="n">
        <v>3</v>
      </c>
      <c r="D6" s="2" t="n">
        <v>5</v>
      </c>
    </row>
    <row r="7" customFormat="false" ht="15" hidden="false" customHeight="false" outlineLevel="0" collapsed="false">
      <c r="A7" s="4" t="n">
        <v>306</v>
      </c>
      <c r="B7" s="4" t="s">
        <v>243</v>
      </c>
      <c r="C7" s="4" t="n">
        <v>5</v>
      </c>
      <c r="D7" s="4" t="n">
        <v>10</v>
      </c>
    </row>
    <row r="8" customFormat="false" ht="15" hidden="false" customHeight="false" outlineLevel="0" collapsed="false">
      <c r="A8" s="2" t="n">
        <v>307</v>
      </c>
      <c r="B8" s="2" t="s">
        <v>269</v>
      </c>
      <c r="C8" s="2" t="n">
        <v>5</v>
      </c>
      <c r="D8" s="2" t="n">
        <v>9</v>
      </c>
    </row>
    <row r="9" customFormat="false" ht="15" hidden="false" customHeight="false" outlineLevel="0" collapsed="false">
      <c r="A9" s="4" t="n">
        <v>308</v>
      </c>
      <c r="B9" s="4" t="s">
        <v>270</v>
      </c>
      <c r="C9" s="4" t="n">
        <v>5</v>
      </c>
      <c r="D9" s="4" t="n">
        <v>1</v>
      </c>
    </row>
    <row r="10" customFormat="false" ht="15" hidden="false" customHeight="false" outlineLevel="0" collapsed="false">
      <c r="A10" s="2" t="n">
        <v>309</v>
      </c>
      <c r="B10" s="2" t="s">
        <v>271</v>
      </c>
      <c r="C10" s="2" t="n">
        <v>5</v>
      </c>
      <c r="D10" s="2" t="n">
        <v>2</v>
      </c>
    </row>
    <row r="11" customFormat="false" ht="15" hidden="false" customHeight="false" outlineLevel="0" collapsed="false">
      <c r="A11" s="4" t="n">
        <v>310</v>
      </c>
      <c r="B11" s="4" t="s">
        <v>272</v>
      </c>
      <c r="C11" s="4" t="n">
        <v>5</v>
      </c>
      <c r="D11" s="4" t="n">
        <v>3</v>
      </c>
    </row>
    <row r="12" customFormat="false" ht="15" hidden="false" customHeight="false" outlineLevel="0" collapsed="false">
      <c r="A12" s="2" t="n">
        <v>311</v>
      </c>
      <c r="B12" s="2" t="s">
        <v>273</v>
      </c>
      <c r="C12" s="2" t="n">
        <v>5</v>
      </c>
      <c r="D12" s="2" t="n">
        <v>6</v>
      </c>
    </row>
    <row r="13" customFormat="false" ht="15" hidden="false" customHeight="false" outlineLevel="0" collapsed="false">
      <c r="A13" s="4" t="n">
        <v>312</v>
      </c>
      <c r="B13" s="4" t="s">
        <v>274</v>
      </c>
      <c r="C13" s="4" t="n">
        <v>6</v>
      </c>
      <c r="D13" s="4" t="n">
        <v>7</v>
      </c>
    </row>
    <row r="14" customFormat="false" ht="15" hidden="false" customHeight="false" outlineLevel="0" collapsed="false">
      <c r="A14" s="2" t="n">
        <v>313</v>
      </c>
      <c r="B14" s="2" t="s">
        <v>275</v>
      </c>
      <c r="C14" s="2" t="n">
        <v>5</v>
      </c>
      <c r="D14" s="2" t="n">
        <v>11</v>
      </c>
    </row>
    <row r="15" customFormat="false" ht="15" hidden="false" customHeight="false" outlineLevel="0" collapsed="false">
      <c r="A15" s="4" t="n">
        <v>314</v>
      </c>
      <c r="B15" s="4" t="s">
        <v>276</v>
      </c>
      <c r="C15" s="4" t="n">
        <v>4</v>
      </c>
      <c r="D15" s="4" t="n">
        <v>14</v>
      </c>
    </row>
    <row r="16" customFormat="false" ht="15" hidden="false" customHeight="false" outlineLevel="0" collapsed="false">
      <c r="A16" s="2" t="n">
        <v>315</v>
      </c>
      <c r="B16" s="2" t="s">
        <v>252</v>
      </c>
      <c r="C16" s="2" t="n">
        <v>2</v>
      </c>
      <c r="D16" s="2" t="n">
        <v>13</v>
      </c>
    </row>
    <row r="17" customFormat="false" ht="15" hidden="false" customHeight="false" outlineLevel="0" collapsed="false">
      <c r="A17" s="4" t="n">
        <v>316</v>
      </c>
      <c r="B17" s="4" t="s">
        <v>277</v>
      </c>
      <c r="C17" s="4" t="n">
        <v>4</v>
      </c>
      <c r="D17" s="4" t="n">
        <v>12</v>
      </c>
    </row>
  </sheetData>
  <autoFilter ref="A1:D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278</v>
      </c>
      <c r="B1" s="1" t="s">
        <v>279</v>
      </c>
      <c r="C1" s="1" t="s">
        <v>280</v>
      </c>
      <c r="D1" s="1" t="s">
        <v>281</v>
      </c>
    </row>
    <row r="2" customFormat="false" ht="15" hidden="false" customHeight="false" outlineLevel="0" collapsed="false">
      <c r="A2" s="2" t="n">
        <v>401</v>
      </c>
      <c r="B2" s="2" t="s">
        <v>282</v>
      </c>
      <c r="C2" s="2" t="s">
        <v>283</v>
      </c>
      <c r="D2" s="2" t="n">
        <v>120</v>
      </c>
    </row>
    <row r="3" customFormat="false" ht="15" hidden="false" customHeight="false" outlineLevel="0" collapsed="false">
      <c r="A3" s="4" t="n">
        <v>402</v>
      </c>
      <c r="B3" s="4" t="s">
        <v>282</v>
      </c>
      <c r="C3" s="4" t="s">
        <v>284</v>
      </c>
      <c r="D3" s="4" t="n">
        <v>60</v>
      </c>
    </row>
    <row r="4" customFormat="false" ht="15" hidden="false" customHeight="false" outlineLevel="0" collapsed="false">
      <c r="A4" s="2" t="n">
        <v>403</v>
      </c>
      <c r="B4" s="2" t="s">
        <v>282</v>
      </c>
      <c r="C4" s="2" t="s">
        <v>285</v>
      </c>
      <c r="D4" s="2" t="n">
        <v>30</v>
      </c>
    </row>
    <row r="5" customFormat="false" ht="15" hidden="false" customHeight="false" outlineLevel="0" collapsed="false">
      <c r="A5" s="4" t="n">
        <v>404</v>
      </c>
      <c r="B5" s="4" t="s">
        <v>282</v>
      </c>
      <c r="C5" s="4" t="s">
        <v>286</v>
      </c>
      <c r="D5" s="4" t="n">
        <v>30</v>
      </c>
    </row>
    <row r="6" customFormat="false" ht="15" hidden="false" customHeight="false" outlineLevel="0" collapsed="false">
      <c r="A6" s="2" t="n">
        <v>405</v>
      </c>
      <c r="B6" s="2" t="s">
        <v>287</v>
      </c>
      <c r="C6" s="2" t="s">
        <v>288</v>
      </c>
      <c r="D6" s="2" t="n">
        <v>25</v>
      </c>
    </row>
    <row r="7" customFormat="false" ht="15" hidden="false" customHeight="false" outlineLevel="0" collapsed="false">
      <c r="A7" s="4" t="n">
        <v>406</v>
      </c>
      <c r="B7" s="4" t="s">
        <v>287</v>
      </c>
      <c r="C7" s="4" t="s">
        <v>289</v>
      </c>
      <c r="D7" s="4" t="n">
        <v>25</v>
      </c>
    </row>
    <row r="8" customFormat="false" ht="15" hidden="false" customHeight="false" outlineLevel="0" collapsed="false">
      <c r="A8" s="2" t="n">
        <v>407</v>
      </c>
      <c r="B8" s="2" t="s">
        <v>287</v>
      </c>
      <c r="C8" s="2" t="s">
        <v>290</v>
      </c>
      <c r="D8" s="2" t="n">
        <v>25</v>
      </c>
    </row>
    <row r="9" customFormat="false" ht="15" hidden="false" customHeight="false" outlineLevel="0" collapsed="false">
      <c r="A9" s="4" t="n">
        <v>408</v>
      </c>
      <c r="B9" s="4" t="s">
        <v>287</v>
      </c>
      <c r="C9" s="4" t="s">
        <v>291</v>
      </c>
      <c r="D9" s="4" t="n">
        <v>40</v>
      </c>
    </row>
    <row r="10" customFormat="false" ht="15" hidden="false" customHeight="false" outlineLevel="0" collapsed="false">
      <c r="A10" s="2" t="n">
        <v>409</v>
      </c>
      <c r="B10" s="2" t="s">
        <v>292</v>
      </c>
      <c r="C10" s="2" t="s">
        <v>293</v>
      </c>
      <c r="D10" s="2" t="n">
        <v>80</v>
      </c>
    </row>
    <row r="11" customFormat="false" ht="15" hidden="false" customHeight="false" outlineLevel="0" collapsed="false">
      <c r="A11" s="4" t="n">
        <v>410</v>
      </c>
      <c r="B11" s="4" t="s">
        <v>292</v>
      </c>
      <c r="C11" s="4" t="s">
        <v>294</v>
      </c>
      <c r="D11" s="4" t="n">
        <v>30</v>
      </c>
    </row>
    <row r="12" customFormat="false" ht="15" hidden="false" customHeight="false" outlineLevel="0" collapsed="false">
      <c r="A12" s="2" t="n">
        <v>411</v>
      </c>
      <c r="B12" s="2" t="s">
        <v>292</v>
      </c>
      <c r="C12" s="2" t="s">
        <v>295</v>
      </c>
      <c r="D12" s="2" t="n">
        <v>30</v>
      </c>
    </row>
    <row r="13" customFormat="false" ht="15" hidden="false" customHeight="false" outlineLevel="0" collapsed="false">
      <c r="A13" s="4" t="n">
        <v>412</v>
      </c>
      <c r="B13" s="4" t="s">
        <v>296</v>
      </c>
      <c r="C13" s="4" t="s">
        <v>297</v>
      </c>
      <c r="D13" s="4" t="n">
        <v>50</v>
      </c>
    </row>
    <row r="14" customFormat="false" ht="15" hidden="false" customHeight="false" outlineLevel="0" collapsed="false">
      <c r="A14" s="2" t="n">
        <v>413</v>
      </c>
      <c r="B14" s="2" t="s">
        <v>296</v>
      </c>
      <c r="C14" s="2" t="s">
        <v>298</v>
      </c>
      <c r="D14" s="2" t="n">
        <v>20</v>
      </c>
    </row>
    <row r="15" customFormat="false" ht="15" hidden="false" customHeight="false" outlineLevel="0" collapsed="false">
      <c r="A15" s="4" t="n">
        <v>414</v>
      </c>
      <c r="B15" s="4" t="s">
        <v>296</v>
      </c>
      <c r="C15" s="4" t="s">
        <v>299</v>
      </c>
      <c r="D15" s="4" t="n">
        <v>24</v>
      </c>
    </row>
    <row r="16" customFormat="false" ht="15" hidden="false" customHeight="false" outlineLevel="0" collapsed="false">
      <c r="A16" s="2" t="n">
        <v>415</v>
      </c>
      <c r="B16" s="2" t="s">
        <v>300</v>
      </c>
      <c r="C16" s="2" t="s">
        <v>301</v>
      </c>
      <c r="D16" s="2" t="n">
        <v>200</v>
      </c>
    </row>
  </sheetData>
  <autoFilter ref="A1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302</v>
      </c>
      <c r="B1" s="1" t="s">
        <v>261</v>
      </c>
      <c r="C1" s="1" t="s">
        <v>145</v>
      </c>
      <c r="D1" s="1" t="s">
        <v>6</v>
      </c>
      <c r="E1" s="1" t="s">
        <v>278</v>
      </c>
      <c r="F1" s="1" t="s">
        <v>303</v>
      </c>
      <c r="G1" s="1" t="s">
        <v>304</v>
      </c>
      <c r="H1" s="1" t="s">
        <v>305</v>
      </c>
    </row>
    <row r="2" customFormat="false" ht="15" hidden="false" customHeight="false" outlineLevel="0" collapsed="false">
      <c r="A2" s="2" t="n">
        <v>501</v>
      </c>
      <c r="B2" s="2" t="n">
        <v>308</v>
      </c>
      <c r="C2" s="2" t="n">
        <v>209</v>
      </c>
      <c r="D2" s="2" t="n">
        <v>21</v>
      </c>
      <c r="E2" s="2" t="n">
        <v>407</v>
      </c>
      <c r="F2" s="3" t="n">
        <v>46309</v>
      </c>
      <c r="G2" s="6" t="n">
        <v>0.354166666666667</v>
      </c>
      <c r="H2" s="6" t="n">
        <v>0.409722222222222</v>
      </c>
    </row>
    <row r="3" customFormat="false" ht="15" hidden="false" customHeight="false" outlineLevel="0" collapsed="false">
      <c r="A3" s="4" t="n">
        <v>502</v>
      </c>
      <c r="B3" s="4" t="n">
        <v>301</v>
      </c>
      <c r="C3" s="4" t="n">
        <v>201</v>
      </c>
      <c r="D3" s="4" t="n">
        <v>22</v>
      </c>
      <c r="E3" s="4" t="n">
        <v>405</v>
      </c>
      <c r="F3" s="5" t="n">
        <v>46309</v>
      </c>
      <c r="G3" s="7" t="n">
        <v>0.416666666666667</v>
      </c>
      <c r="H3" s="7" t="n">
        <v>0.472222222222222</v>
      </c>
    </row>
    <row r="4" customFormat="false" ht="15" hidden="false" customHeight="false" outlineLevel="0" collapsed="false">
      <c r="A4" s="2" t="n">
        <v>503</v>
      </c>
      <c r="B4" s="2" t="n">
        <v>302</v>
      </c>
      <c r="C4" s="2" t="n">
        <v>203</v>
      </c>
      <c r="D4" s="2" t="n">
        <v>23</v>
      </c>
      <c r="E4" s="2" t="n">
        <v>406</v>
      </c>
      <c r="F4" s="3" t="n">
        <v>46309</v>
      </c>
      <c r="G4" s="6" t="n">
        <v>0.479166666666667</v>
      </c>
      <c r="H4" s="6" t="n">
        <v>0.534722222222222</v>
      </c>
    </row>
    <row r="5" customFormat="false" ht="15" hidden="false" customHeight="false" outlineLevel="0" collapsed="false">
      <c r="A5" s="4" t="n">
        <v>504</v>
      </c>
      <c r="B5" s="4" t="n">
        <v>309</v>
      </c>
      <c r="C5" s="4" t="n">
        <v>210</v>
      </c>
      <c r="D5" s="4" t="n">
        <v>24</v>
      </c>
      <c r="E5" s="4" t="n">
        <v>407</v>
      </c>
      <c r="F5" s="5" t="n">
        <v>46309</v>
      </c>
      <c r="G5" s="7" t="n">
        <v>0.583333333333333</v>
      </c>
      <c r="H5" s="7" t="n">
        <v>0.638888888888889</v>
      </c>
    </row>
    <row r="6" customFormat="false" ht="15" hidden="false" customHeight="false" outlineLevel="0" collapsed="false">
      <c r="A6" s="2" t="n">
        <v>505</v>
      </c>
      <c r="B6" s="2" t="n">
        <v>302</v>
      </c>
      <c r="C6" s="2" t="n">
        <v>203</v>
      </c>
      <c r="D6" s="2" t="n">
        <v>25</v>
      </c>
      <c r="E6" s="2" t="n">
        <v>406</v>
      </c>
      <c r="F6" s="3" t="n">
        <v>46309</v>
      </c>
      <c r="G6" s="6" t="n">
        <v>0.645833333333333</v>
      </c>
      <c r="H6" s="6" t="n">
        <v>0.701388888888889</v>
      </c>
    </row>
    <row r="7" customFormat="false" ht="15" hidden="false" customHeight="false" outlineLevel="0" collapsed="false">
      <c r="A7" s="4" t="n">
        <v>506</v>
      </c>
      <c r="B7" s="4" t="n">
        <v>310</v>
      </c>
      <c r="C7" s="4" t="n">
        <v>211</v>
      </c>
      <c r="D7" s="4" t="n">
        <v>26</v>
      </c>
      <c r="E7" s="4" t="n">
        <v>411</v>
      </c>
      <c r="F7" s="5" t="n">
        <v>46309</v>
      </c>
      <c r="G7" s="7" t="n">
        <v>0.354166666666667</v>
      </c>
      <c r="H7" s="7" t="n">
        <v>0.409722222222222</v>
      </c>
    </row>
    <row r="8" customFormat="false" ht="15" hidden="false" customHeight="false" outlineLevel="0" collapsed="false">
      <c r="A8" s="2" t="n">
        <v>507</v>
      </c>
      <c r="B8" s="2" t="n">
        <v>310</v>
      </c>
      <c r="C8" s="2" t="n">
        <v>211</v>
      </c>
      <c r="D8" s="2" t="n">
        <v>27</v>
      </c>
      <c r="E8" s="2" t="n">
        <v>402</v>
      </c>
      <c r="F8" s="3" t="n">
        <v>46309</v>
      </c>
      <c r="G8" s="6" t="n">
        <v>0.416666666666667</v>
      </c>
      <c r="H8" s="6" t="n">
        <v>0.472222222222222</v>
      </c>
    </row>
    <row r="9" customFormat="false" ht="15" hidden="false" customHeight="false" outlineLevel="0" collapsed="false">
      <c r="A9" s="4" t="n">
        <v>508</v>
      </c>
      <c r="B9" s="4" t="n">
        <v>313</v>
      </c>
      <c r="C9" s="4" t="n">
        <v>214</v>
      </c>
      <c r="D9" s="4" t="n">
        <v>28</v>
      </c>
      <c r="E9" s="4" t="n">
        <v>409</v>
      </c>
      <c r="F9" s="5" t="n">
        <v>46309</v>
      </c>
      <c r="G9" s="7" t="n">
        <v>0.479166666666667</v>
      </c>
      <c r="H9" s="7" t="n">
        <v>0.534722222222222</v>
      </c>
    </row>
    <row r="10" customFormat="false" ht="15" hidden="false" customHeight="false" outlineLevel="0" collapsed="false">
      <c r="A10" s="2" t="n">
        <v>509</v>
      </c>
      <c r="B10" s="2" t="n">
        <v>304</v>
      </c>
      <c r="C10" s="2" t="n">
        <v>205</v>
      </c>
      <c r="D10" s="2" t="n">
        <v>29</v>
      </c>
      <c r="E10" s="2" t="n">
        <v>412</v>
      </c>
      <c r="F10" s="3" t="n">
        <v>46309</v>
      </c>
      <c r="G10" s="6" t="n">
        <v>0.583333333333333</v>
      </c>
      <c r="H10" s="6" t="n">
        <v>0.638888888888889</v>
      </c>
    </row>
    <row r="11" customFormat="false" ht="15" hidden="false" customHeight="false" outlineLevel="0" collapsed="false">
      <c r="A11" s="4" t="n">
        <v>510</v>
      </c>
      <c r="B11" s="4" t="n">
        <v>312</v>
      </c>
      <c r="C11" s="4" t="n">
        <v>213</v>
      </c>
      <c r="D11" s="4" t="n">
        <v>30</v>
      </c>
      <c r="E11" s="4" t="n">
        <v>414</v>
      </c>
      <c r="F11" s="5" t="n">
        <v>46309</v>
      </c>
      <c r="G11" s="7" t="n">
        <v>0.645833333333333</v>
      </c>
      <c r="H11" s="7" t="n">
        <v>0.701388888888889</v>
      </c>
    </row>
    <row r="12" customFormat="false" ht="15" hidden="false" customHeight="false" outlineLevel="0" collapsed="false">
      <c r="A12" s="2" t="n">
        <v>511</v>
      </c>
      <c r="B12" s="2" t="n">
        <v>311</v>
      </c>
      <c r="C12" s="2" t="n">
        <v>212</v>
      </c>
      <c r="D12" s="2" t="n">
        <v>31</v>
      </c>
      <c r="E12" s="2" t="n">
        <v>408</v>
      </c>
      <c r="F12" s="3" t="n">
        <v>46309</v>
      </c>
      <c r="G12" s="6" t="n">
        <v>0.354166666666667</v>
      </c>
      <c r="H12" s="6" t="n">
        <v>0.409722222222222</v>
      </c>
    </row>
    <row r="13" customFormat="false" ht="15" hidden="false" customHeight="false" outlineLevel="0" collapsed="false">
      <c r="A13" s="4" t="n">
        <v>512</v>
      </c>
      <c r="B13" s="4" t="n">
        <v>313</v>
      </c>
      <c r="C13" s="4" t="n">
        <v>214</v>
      </c>
      <c r="D13" s="4" t="n">
        <v>32</v>
      </c>
      <c r="E13" s="4" t="n">
        <v>411</v>
      </c>
      <c r="F13" s="5" t="n">
        <v>46309</v>
      </c>
      <c r="G13" s="7" t="n">
        <v>0.416666666666667</v>
      </c>
      <c r="H13" s="7" t="n">
        <v>0.472222222222222</v>
      </c>
    </row>
    <row r="14" customFormat="false" ht="15" hidden="false" customHeight="false" outlineLevel="0" collapsed="false">
      <c r="A14" s="2" t="n">
        <v>513</v>
      </c>
      <c r="B14" s="2" t="n">
        <v>314</v>
      </c>
      <c r="C14" s="2" t="n">
        <v>215</v>
      </c>
      <c r="D14" s="2" t="n">
        <v>33</v>
      </c>
      <c r="E14" s="2" t="n">
        <v>402</v>
      </c>
      <c r="F14" s="3" t="n">
        <v>46309</v>
      </c>
      <c r="G14" s="6" t="n">
        <v>0.479166666666667</v>
      </c>
      <c r="H14" s="6" t="n">
        <v>0.534722222222222</v>
      </c>
    </row>
    <row r="15" customFormat="false" ht="15" hidden="false" customHeight="false" outlineLevel="0" collapsed="false">
      <c r="A15" s="4" t="n">
        <v>514</v>
      </c>
      <c r="B15" s="4" t="n">
        <v>316</v>
      </c>
      <c r="C15" s="4" t="n">
        <v>217</v>
      </c>
      <c r="D15" s="4" t="n">
        <v>34</v>
      </c>
      <c r="E15" s="4" t="n">
        <v>409</v>
      </c>
      <c r="F15" s="5" t="n">
        <v>46309</v>
      </c>
      <c r="G15" s="7" t="n">
        <v>0.583333333333333</v>
      </c>
      <c r="H15" s="7" t="n">
        <v>0.638888888888889</v>
      </c>
    </row>
    <row r="16" customFormat="false" ht="15" hidden="false" customHeight="false" outlineLevel="0" collapsed="false">
      <c r="A16" s="2" t="n">
        <v>515</v>
      </c>
      <c r="B16" s="2" t="n">
        <v>305</v>
      </c>
      <c r="C16" s="2" t="n">
        <v>206</v>
      </c>
      <c r="D16" s="2" t="n">
        <v>35</v>
      </c>
      <c r="E16" s="2" t="n">
        <v>410</v>
      </c>
      <c r="F16" s="3" t="n">
        <v>46309</v>
      </c>
      <c r="G16" s="6" t="n">
        <v>0.645833333333333</v>
      </c>
      <c r="H16" s="6" t="n">
        <v>0.701388888888889</v>
      </c>
    </row>
    <row r="17" customFormat="false" ht="15" hidden="false" customHeight="false" outlineLevel="0" collapsed="false">
      <c r="A17" s="4" t="n">
        <v>516</v>
      </c>
      <c r="B17" s="4" t="n">
        <v>308</v>
      </c>
      <c r="C17" s="4" t="n">
        <v>209</v>
      </c>
      <c r="D17" s="4" t="n">
        <v>21</v>
      </c>
      <c r="E17" s="4" t="n">
        <v>407</v>
      </c>
      <c r="F17" s="5" t="n">
        <v>46310</v>
      </c>
      <c r="G17" s="7" t="n">
        <v>0.416666666666667</v>
      </c>
      <c r="H17" s="7" t="n">
        <v>0.472222222222222</v>
      </c>
    </row>
    <row r="18" customFormat="false" ht="15" hidden="false" customHeight="false" outlineLevel="0" collapsed="false">
      <c r="A18" s="2" t="n">
        <v>517</v>
      </c>
      <c r="B18" s="2" t="n">
        <v>301</v>
      </c>
      <c r="C18" s="2" t="n">
        <v>201</v>
      </c>
      <c r="D18" s="2" t="n">
        <v>22</v>
      </c>
      <c r="E18" s="2" t="n">
        <v>405</v>
      </c>
      <c r="F18" s="3" t="n">
        <v>46310</v>
      </c>
      <c r="G18" s="6" t="n">
        <v>0.479166666666667</v>
      </c>
      <c r="H18" s="6" t="n">
        <v>0.534722222222222</v>
      </c>
    </row>
    <row r="19" customFormat="false" ht="15" hidden="false" customHeight="false" outlineLevel="0" collapsed="false">
      <c r="A19" s="4" t="n">
        <v>518</v>
      </c>
      <c r="B19" s="4" t="n">
        <v>302</v>
      </c>
      <c r="C19" s="4" t="n">
        <v>203</v>
      </c>
      <c r="D19" s="4" t="n">
        <v>23</v>
      </c>
      <c r="E19" s="4" t="n">
        <v>406</v>
      </c>
      <c r="F19" s="5" t="n">
        <v>46310</v>
      </c>
      <c r="G19" s="7" t="n">
        <v>0.583333333333333</v>
      </c>
      <c r="H19" s="7" t="n">
        <v>0.638888888888889</v>
      </c>
    </row>
    <row r="20" customFormat="false" ht="15" hidden="false" customHeight="false" outlineLevel="0" collapsed="false">
      <c r="A20" s="2" t="n">
        <v>519</v>
      </c>
      <c r="B20" s="2" t="n">
        <v>309</v>
      </c>
      <c r="C20" s="2" t="n">
        <v>210</v>
      </c>
      <c r="D20" s="2" t="n">
        <v>24</v>
      </c>
      <c r="E20" s="2" t="n">
        <v>407</v>
      </c>
      <c r="F20" s="3" t="n">
        <v>46310</v>
      </c>
      <c r="G20" s="6" t="n">
        <v>0.645833333333333</v>
      </c>
      <c r="H20" s="6" t="n">
        <v>0.701388888888889</v>
      </c>
    </row>
    <row r="21" customFormat="false" ht="15" hidden="false" customHeight="false" outlineLevel="0" collapsed="false">
      <c r="A21" s="4" t="n">
        <v>520</v>
      </c>
      <c r="B21" s="4" t="n">
        <v>302</v>
      </c>
      <c r="C21" s="4" t="n">
        <v>203</v>
      </c>
      <c r="D21" s="4" t="n">
        <v>25</v>
      </c>
      <c r="E21" s="4" t="n">
        <v>406</v>
      </c>
      <c r="F21" s="5" t="n">
        <v>46310</v>
      </c>
      <c r="G21" s="7" t="n">
        <v>0.354166666666667</v>
      </c>
      <c r="H21" s="7" t="n">
        <v>0.409722222222222</v>
      </c>
    </row>
    <row r="22" customFormat="false" ht="15" hidden="false" customHeight="false" outlineLevel="0" collapsed="false">
      <c r="A22" s="2" t="n">
        <v>521</v>
      </c>
      <c r="B22" s="2" t="n">
        <v>310</v>
      </c>
      <c r="C22" s="2" t="n">
        <v>211</v>
      </c>
      <c r="D22" s="2" t="n">
        <v>26</v>
      </c>
      <c r="E22" s="2" t="n">
        <v>411</v>
      </c>
      <c r="F22" s="3" t="n">
        <v>46310</v>
      </c>
      <c r="G22" s="6" t="n">
        <v>0.416666666666667</v>
      </c>
      <c r="H22" s="6" t="n">
        <v>0.472222222222222</v>
      </c>
    </row>
    <row r="23" customFormat="false" ht="15" hidden="false" customHeight="false" outlineLevel="0" collapsed="false">
      <c r="A23" s="4" t="n">
        <v>522</v>
      </c>
      <c r="B23" s="4" t="n">
        <v>310</v>
      </c>
      <c r="C23" s="4" t="n">
        <v>211</v>
      </c>
      <c r="D23" s="4" t="n">
        <v>27</v>
      </c>
      <c r="E23" s="4" t="n">
        <v>402</v>
      </c>
      <c r="F23" s="5" t="n">
        <v>46310</v>
      </c>
      <c r="G23" s="7" t="n">
        <v>0.479166666666667</v>
      </c>
      <c r="H23" s="7" t="n">
        <v>0.534722222222222</v>
      </c>
    </row>
    <row r="24" customFormat="false" ht="15" hidden="false" customHeight="false" outlineLevel="0" collapsed="false">
      <c r="A24" s="2" t="n">
        <v>523</v>
      </c>
      <c r="B24" s="2" t="n">
        <v>313</v>
      </c>
      <c r="C24" s="2" t="n">
        <v>214</v>
      </c>
      <c r="D24" s="2" t="n">
        <v>28</v>
      </c>
      <c r="E24" s="2" t="n">
        <v>409</v>
      </c>
      <c r="F24" s="3" t="n">
        <v>46310</v>
      </c>
      <c r="G24" s="6" t="n">
        <v>0.583333333333333</v>
      </c>
      <c r="H24" s="6" t="n">
        <v>0.638888888888889</v>
      </c>
    </row>
    <row r="25" customFormat="false" ht="15" hidden="false" customHeight="false" outlineLevel="0" collapsed="false">
      <c r="A25" s="4" t="n">
        <v>524</v>
      </c>
      <c r="B25" s="4" t="n">
        <v>304</v>
      </c>
      <c r="C25" s="4" t="n">
        <v>205</v>
      </c>
      <c r="D25" s="4" t="n">
        <v>29</v>
      </c>
      <c r="E25" s="4" t="n">
        <v>412</v>
      </c>
      <c r="F25" s="5" t="n">
        <v>46310</v>
      </c>
      <c r="G25" s="7" t="n">
        <v>0.645833333333333</v>
      </c>
      <c r="H25" s="7" t="n">
        <v>0.701388888888889</v>
      </c>
    </row>
    <row r="26" customFormat="false" ht="15" hidden="false" customHeight="false" outlineLevel="0" collapsed="false">
      <c r="A26" s="2" t="n">
        <v>525</v>
      </c>
      <c r="B26" s="2" t="n">
        <v>312</v>
      </c>
      <c r="C26" s="2" t="n">
        <v>213</v>
      </c>
      <c r="D26" s="2" t="n">
        <v>30</v>
      </c>
      <c r="E26" s="2" t="n">
        <v>414</v>
      </c>
      <c r="F26" s="3" t="n">
        <v>46310</v>
      </c>
      <c r="G26" s="6" t="n">
        <v>0.354166666666667</v>
      </c>
      <c r="H26" s="6" t="n">
        <v>0.409722222222222</v>
      </c>
    </row>
    <row r="27" customFormat="false" ht="15" hidden="false" customHeight="false" outlineLevel="0" collapsed="false">
      <c r="A27" s="4" t="n">
        <v>526</v>
      </c>
      <c r="B27" s="4" t="n">
        <v>311</v>
      </c>
      <c r="C27" s="4" t="n">
        <v>212</v>
      </c>
      <c r="D27" s="4" t="n">
        <v>31</v>
      </c>
      <c r="E27" s="4" t="n">
        <v>408</v>
      </c>
      <c r="F27" s="5" t="n">
        <v>46310</v>
      </c>
      <c r="G27" s="7" t="n">
        <v>0.416666666666667</v>
      </c>
      <c r="H27" s="7" t="n">
        <v>0.472222222222222</v>
      </c>
    </row>
    <row r="28" customFormat="false" ht="15" hidden="false" customHeight="false" outlineLevel="0" collapsed="false">
      <c r="A28" s="2" t="n">
        <v>527</v>
      </c>
      <c r="B28" s="2" t="n">
        <v>313</v>
      </c>
      <c r="C28" s="2" t="n">
        <v>214</v>
      </c>
      <c r="D28" s="2" t="n">
        <v>32</v>
      </c>
      <c r="E28" s="2" t="n">
        <v>411</v>
      </c>
      <c r="F28" s="3" t="n">
        <v>46310</v>
      </c>
      <c r="G28" s="6" t="n">
        <v>0.479166666666667</v>
      </c>
      <c r="H28" s="6" t="n">
        <v>0.534722222222222</v>
      </c>
    </row>
    <row r="29" customFormat="false" ht="15" hidden="false" customHeight="false" outlineLevel="0" collapsed="false">
      <c r="A29" s="4" t="n">
        <v>528</v>
      </c>
      <c r="B29" s="4" t="n">
        <v>314</v>
      </c>
      <c r="C29" s="4" t="n">
        <v>215</v>
      </c>
      <c r="D29" s="4" t="n">
        <v>33</v>
      </c>
      <c r="E29" s="4" t="n">
        <v>402</v>
      </c>
      <c r="F29" s="5" t="n">
        <v>46310</v>
      </c>
      <c r="G29" s="7" t="n">
        <v>0.583333333333333</v>
      </c>
      <c r="H29" s="7" t="n">
        <v>0.638888888888889</v>
      </c>
    </row>
    <row r="30" customFormat="false" ht="15" hidden="false" customHeight="false" outlineLevel="0" collapsed="false">
      <c r="A30" s="2" t="n">
        <v>529</v>
      </c>
      <c r="B30" s="2" t="n">
        <v>316</v>
      </c>
      <c r="C30" s="2" t="n">
        <v>217</v>
      </c>
      <c r="D30" s="2" t="n">
        <v>34</v>
      </c>
      <c r="E30" s="2" t="n">
        <v>409</v>
      </c>
      <c r="F30" s="3" t="n">
        <v>46310</v>
      </c>
      <c r="G30" s="6" t="n">
        <v>0.645833333333333</v>
      </c>
      <c r="H30" s="6" t="n">
        <v>0.701388888888889</v>
      </c>
    </row>
    <row r="31" customFormat="false" ht="15" hidden="false" customHeight="false" outlineLevel="0" collapsed="false">
      <c r="A31" s="4" t="n">
        <v>530</v>
      </c>
      <c r="B31" s="4" t="n">
        <v>305</v>
      </c>
      <c r="C31" s="4" t="n">
        <v>206</v>
      </c>
      <c r="D31" s="4" t="n">
        <v>35</v>
      </c>
      <c r="E31" s="4" t="n">
        <v>410</v>
      </c>
      <c r="F31" s="5" t="n">
        <v>46310</v>
      </c>
      <c r="G31" s="7" t="n">
        <v>0.354166666666667</v>
      </c>
      <c r="H31" s="7" t="n">
        <v>0.409722222222222</v>
      </c>
    </row>
  </sheetData>
  <autoFilter ref="A1:H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306</v>
      </c>
      <c r="B1" s="1" t="s">
        <v>0</v>
      </c>
      <c r="C1" s="1" t="s">
        <v>261</v>
      </c>
      <c r="D1" s="1" t="s">
        <v>307</v>
      </c>
      <c r="E1" s="1" t="s">
        <v>308</v>
      </c>
      <c r="F1" s="1" t="s">
        <v>309</v>
      </c>
    </row>
    <row r="2" customFormat="false" ht="15" hidden="false" customHeight="false" outlineLevel="0" collapsed="false">
      <c r="A2" s="2" t="n">
        <v>601</v>
      </c>
      <c r="B2" s="2" t="n">
        <v>1001</v>
      </c>
      <c r="C2" s="2" t="n">
        <v>301</v>
      </c>
      <c r="D2" s="2" t="n">
        <v>6</v>
      </c>
      <c r="E2" s="2" t="s">
        <v>310</v>
      </c>
      <c r="F2" s="2" t="s">
        <v>311</v>
      </c>
    </row>
    <row r="3" customFormat="false" ht="15" hidden="false" customHeight="false" outlineLevel="0" collapsed="false">
      <c r="A3" s="4" t="n">
        <v>602</v>
      </c>
      <c r="B3" s="4" t="n">
        <v>1001</v>
      </c>
      <c r="C3" s="4" t="n">
        <v>302</v>
      </c>
      <c r="D3" s="4" t="n">
        <v>6</v>
      </c>
      <c r="E3" s="4" t="s">
        <v>310</v>
      </c>
      <c r="F3" s="4" t="s">
        <v>311</v>
      </c>
    </row>
    <row r="4" customFormat="false" ht="15" hidden="false" customHeight="false" outlineLevel="0" collapsed="false">
      <c r="A4" s="2" t="n">
        <v>603</v>
      </c>
      <c r="B4" s="2" t="n">
        <v>1001</v>
      </c>
      <c r="C4" s="2" t="n">
        <v>308</v>
      </c>
      <c r="D4" s="2" t="n">
        <v>7</v>
      </c>
      <c r="E4" s="2" t="s">
        <v>312</v>
      </c>
      <c r="F4" s="2" t="s">
        <v>313</v>
      </c>
    </row>
    <row r="5" customFormat="false" ht="15" hidden="false" customHeight="false" outlineLevel="0" collapsed="false">
      <c r="A5" s="4" t="n">
        <v>604</v>
      </c>
      <c r="B5" s="4" t="n">
        <v>1002</v>
      </c>
      <c r="C5" s="4" t="n">
        <v>302</v>
      </c>
      <c r="D5" s="4" t="n">
        <v>4</v>
      </c>
      <c r="E5" s="4" t="s">
        <v>310</v>
      </c>
      <c r="F5" s="4" t="s">
        <v>311</v>
      </c>
    </row>
    <row r="6" customFormat="false" ht="15" hidden="false" customHeight="false" outlineLevel="0" collapsed="false">
      <c r="A6" s="2" t="n">
        <v>605</v>
      </c>
      <c r="B6" s="2" t="n">
        <v>1002</v>
      </c>
      <c r="C6" s="2" t="n">
        <v>310</v>
      </c>
      <c r="D6" s="2" t="n">
        <v>4</v>
      </c>
      <c r="E6" s="2" t="s">
        <v>310</v>
      </c>
      <c r="F6" s="2" t="s">
        <v>311</v>
      </c>
    </row>
    <row r="7" customFormat="false" ht="15" hidden="false" customHeight="false" outlineLevel="0" collapsed="false">
      <c r="A7" s="4" t="n">
        <v>606</v>
      </c>
      <c r="B7" s="4" t="n">
        <v>1002</v>
      </c>
      <c r="C7" s="4" t="n">
        <v>301</v>
      </c>
      <c r="D7" s="4" t="n">
        <v>5</v>
      </c>
      <c r="E7" s="4" t="s">
        <v>312</v>
      </c>
      <c r="F7" s="4" t="s">
        <v>313</v>
      </c>
    </row>
    <row r="8" customFormat="false" ht="15" hidden="false" customHeight="false" outlineLevel="0" collapsed="false">
      <c r="A8" s="2" t="n">
        <v>607</v>
      </c>
      <c r="B8" s="2" t="n">
        <v>1003</v>
      </c>
      <c r="C8" s="2" t="n">
        <v>303</v>
      </c>
      <c r="D8" s="2" t="n">
        <v>2</v>
      </c>
      <c r="E8" s="2" t="s">
        <v>310</v>
      </c>
      <c r="F8" s="2" t="s">
        <v>311</v>
      </c>
    </row>
    <row r="9" customFormat="false" ht="15" hidden="false" customHeight="false" outlineLevel="0" collapsed="false">
      <c r="A9" s="4" t="n">
        <v>608</v>
      </c>
      <c r="B9" s="4" t="n">
        <v>1003</v>
      </c>
      <c r="C9" s="4" t="n">
        <v>305</v>
      </c>
      <c r="D9" s="4" t="n">
        <v>2</v>
      </c>
      <c r="E9" s="4" t="s">
        <v>310</v>
      </c>
      <c r="F9" s="4" t="s">
        <v>311</v>
      </c>
    </row>
    <row r="10" customFormat="false" ht="15" hidden="false" customHeight="false" outlineLevel="0" collapsed="false">
      <c r="A10" s="2" t="n">
        <v>609</v>
      </c>
      <c r="B10" s="2" t="n">
        <v>1003</v>
      </c>
      <c r="C10" s="2" t="n">
        <v>302</v>
      </c>
      <c r="D10" s="2" t="n">
        <v>3</v>
      </c>
      <c r="E10" s="2" t="s">
        <v>312</v>
      </c>
      <c r="F10" s="2" t="s">
        <v>313</v>
      </c>
    </row>
    <row r="11" customFormat="false" ht="15" hidden="false" customHeight="false" outlineLevel="0" collapsed="false">
      <c r="A11" s="4" t="n">
        <v>610</v>
      </c>
      <c r="B11" s="4" t="n">
        <v>1004</v>
      </c>
      <c r="C11" s="4" t="n">
        <v>302</v>
      </c>
      <c r="D11" s="4" t="n">
        <v>6</v>
      </c>
      <c r="E11" s="4" t="s">
        <v>310</v>
      </c>
      <c r="F11" s="4" t="s">
        <v>311</v>
      </c>
    </row>
    <row r="12" customFormat="false" ht="15" hidden="false" customHeight="false" outlineLevel="0" collapsed="false">
      <c r="A12" s="2" t="n">
        <v>611</v>
      </c>
      <c r="B12" s="2" t="n">
        <v>1004</v>
      </c>
      <c r="C12" s="2" t="n">
        <v>305</v>
      </c>
      <c r="D12" s="2" t="n">
        <v>6</v>
      </c>
      <c r="E12" s="2" t="s">
        <v>310</v>
      </c>
      <c r="F12" s="2" t="s">
        <v>311</v>
      </c>
    </row>
    <row r="13" customFormat="false" ht="15" hidden="false" customHeight="false" outlineLevel="0" collapsed="false">
      <c r="A13" s="4" t="n">
        <v>612</v>
      </c>
      <c r="B13" s="4" t="n">
        <v>1004</v>
      </c>
      <c r="C13" s="4" t="n">
        <v>309</v>
      </c>
      <c r="D13" s="4" t="n">
        <v>7</v>
      </c>
      <c r="E13" s="4" t="s">
        <v>312</v>
      </c>
      <c r="F13" s="4" t="s">
        <v>313</v>
      </c>
    </row>
    <row r="14" customFormat="false" ht="15" hidden="false" customHeight="false" outlineLevel="0" collapsed="false">
      <c r="A14" s="2" t="n">
        <v>613</v>
      </c>
      <c r="B14" s="2" t="n">
        <v>1005</v>
      </c>
      <c r="C14" s="2" t="n">
        <v>303</v>
      </c>
      <c r="D14" s="2" t="n">
        <v>4</v>
      </c>
      <c r="E14" s="2" t="s">
        <v>310</v>
      </c>
      <c r="F14" s="2" t="s">
        <v>311</v>
      </c>
    </row>
    <row r="15" customFormat="false" ht="15" hidden="false" customHeight="false" outlineLevel="0" collapsed="false">
      <c r="A15" s="4" t="n">
        <v>614</v>
      </c>
      <c r="B15" s="4" t="n">
        <v>1005</v>
      </c>
      <c r="C15" s="4" t="n">
        <v>311</v>
      </c>
      <c r="D15" s="4" t="n">
        <v>4</v>
      </c>
      <c r="E15" s="4" t="s">
        <v>310</v>
      </c>
      <c r="F15" s="4" t="s">
        <v>311</v>
      </c>
    </row>
    <row r="16" customFormat="false" ht="15" hidden="false" customHeight="false" outlineLevel="0" collapsed="false">
      <c r="A16" s="2" t="n">
        <v>615</v>
      </c>
      <c r="B16" s="2" t="n">
        <v>1005</v>
      </c>
      <c r="C16" s="2" t="n">
        <v>302</v>
      </c>
      <c r="D16" s="2" t="n">
        <v>5</v>
      </c>
      <c r="E16" s="2" t="s">
        <v>312</v>
      </c>
      <c r="F16" s="2" t="s">
        <v>313</v>
      </c>
    </row>
    <row r="17" customFormat="false" ht="15" hidden="false" customHeight="false" outlineLevel="0" collapsed="false">
      <c r="A17" s="4" t="n">
        <v>616</v>
      </c>
      <c r="B17" s="4" t="n">
        <v>1006</v>
      </c>
      <c r="C17" s="4" t="n">
        <v>303</v>
      </c>
      <c r="D17" s="4" t="n">
        <v>2</v>
      </c>
      <c r="E17" s="4" t="s">
        <v>310</v>
      </c>
      <c r="F17" s="4" t="s">
        <v>311</v>
      </c>
    </row>
    <row r="18" customFormat="false" ht="15" hidden="false" customHeight="false" outlineLevel="0" collapsed="false">
      <c r="A18" s="2" t="n">
        <v>617</v>
      </c>
      <c r="B18" s="2" t="n">
        <v>1006</v>
      </c>
      <c r="C18" s="2" t="n">
        <v>307</v>
      </c>
      <c r="D18" s="2" t="n">
        <v>2</v>
      </c>
      <c r="E18" s="2" t="s">
        <v>310</v>
      </c>
      <c r="F18" s="2" t="s">
        <v>311</v>
      </c>
    </row>
    <row r="19" customFormat="false" ht="15" hidden="false" customHeight="false" outlineLevel="0" collapsed="false">
      <c r="A19" s="4" t="n">
        <v>618</v>
      </c>
      <c r="B19" s="4" t="n">
        <v>1006</v>
      </c>
      <c r="C19" s="4" t="n">
        <v>310</v>
      </c>
      <c r="D19" s="4" t="n">
        <v>3</v>
      </c>
      <c r="E19" s="4" t="s">
        <v>312</v>
      </c>
      <c r="F19" s="4" t="s">
        <v>313</v>
      </c>
    </row>
    <row r="20" customFormat="false" ht="15" hidden="false" customHeight="false" outlineLevel="0" collapsed="false">
      <c r="A20" s="2" t="n">
        <v>619</v>
      </c>
      <c r="B20" s="2" t="n">
        <v>1007</v>
      </c>
      <c r="C20" s="2" t="n">
        <v>303</v>
      </c>
      <c r="D20" s="2" t="n">
        <v>4</v>
      </c>
      <c r="E20" s="2" t="s">
        <v>310</v>
      </c>
      <c r="F20" s="2" t="s">
        <v>311</v>
      </c>
    </row>
    <row r="21" customFormat="false" ht="15" hidden="false" customHeight="false" outlineLevel="0" collapsed="false">
      <c r="A21" s="4" t="n">
        <v>620</v>
      </c>
      <c r="B21" s="4" t="n">
        <v>1007</v>
      </c>
      <c r="C21" s="4" t="n">
        <v>311</v>
      </c>
      <c r="D21" s="4" t="n">
        <v>4</v>
      </c>
      <c r="E21" s="4" t="s">
        <v>310</v>
      </c>
      <c r="F21" s="4" t="s">
        <v>311</v>
      </c>
    </row>
    <row r="22" customFormat="false" ht="15" hidden="false" customHeight="false" outlineLevel="0" collapsed="false">
      <c r="A22" s="2" t="n">
        <v>621</v>
      </c>
      <c r="B22" s="2" t="n">
        <v>1007</v>
      </c>
      <c r="C22" s="2" t="n">
        <v>310</v>
      </c>
      <c r="D22" s="2" t="n">
        <v>5</v>
      </c>
      <c r="E22" s="2" t="s">
        <v>312</v>
      </c>
      <c r="F22" s="2" t="s">
        <v>313</v>
      </c>
    </row>
    <row r="23" customFormat="false" ht="15" hidden="false" customHeight="false" outlineLevel="0" collapsed="false">
      <c r="A23" s="4" t="n">
        <v>622</v>
      </c>
      <c r="B23" s="4" t="n">
        <v>1008</v>
      </c>
      <c r="C23" s="4" t="n">
        <v>304</v>
      </c>
      <c r="D23" s="4" t="n">
        <v>6</v>
      </c>
      <c r="E23" s="4" t="s">
        <v>310</v>
      </c>
      <c r="F23" s="4" t="s">
        <v>311</v>
      </c>
    </row>
    <row r="24" customFormat="false" ht="15" hidden="false" customHeight="false" outlineLevel="0" collapsed="false">
      <c r="A24" s="2" t="n">
        <v>623</v>
      </c>
      <c r="B24" s="2" t="n">
        <v>1008</v>
      </c>
      <c r="C24" s="2" t="n">
        <v>305</v>
      </c>
      <c r="D24" s="2" t="n">
        <v>6</v>
      </c>
      <c r="E24" s="2" t="s">
        <v>310</v>
      </c>
      <c r="F24" s="2" t="s">
        <v>311</v>
      </c>
    </row>
    <row r="25" customFormat="false" ht="15" hidden="false" customHeight="false" outlineLevel="0" collapsed="false">
      <c r="A25" s="4" t="n">
        <v>624</v>
      </c>
      <c r="B25" s="4" t="n">
        <v>1008</v>
      </c>
      <c r="C25" s="4" t="n">
        <v>313</v>
      </c>
      <c r="D25" s="4" t="n">
        <v>7</v>
      </c>
      <c r="E25" s="4" t="s">
        <v>312</v>
      </c>
      <c r="F25" s="4" t="s">
        <v>313</v>
      </c>
    </row>
    <row r="26" customFormat="false" ht="15" hidden="false" customHeight="false" outlineLevel="0" collapsed="false">
      <c r="A26" s="2" t="n">
        <v>625</v>
      </c>
      <c r="B26" s="2" t="n">
        <v>1009</v>
      </c>
      <c r="C26" s="2" t="n">
        <v>303</v>
      </c>
      <c r="D26" s="2" t="n">
        <v>2</v>
      </c>
      <c r="E26" s="2" t="s">
        <v>310</v>
      </c>
      <c r="F26" s="2" t="s">
        <v>311</v>
      </c>
    </row>
    <row r="27" customFormat="false" ht="15" hidden="false" customHeight="false" outlineLevel="0" collapsed="false">
      <c r="A27" s="4" t="n">
        <v>626</v>
      </c>
      <c r="B27" s="4" t="n">
        <v>1009</v>
      </c>
      <c r="C27" s="4" t="n">
        <v>307</v>
      </c>
      <c r="D27" s="4" t="n">
        <v>2</v>
      </c>
      <c r="E27" s="4" t="s">
        <v>310</v>
      </c>
      <c r="F27" s="4" t="s">
        <v>311</v>
      </c>
    </row>
    <row r="28" customFormat="false" ht="15" hidden="false" customHeight="false" outlineLevel="0" collapsed="false">
      <c r="A28" s="2" t="n">
        <v>627</v>
      </c>
      <c r="B28" s="2" t="n">
        <v>1009</v>
      </c>
      <c r="C28" s="2" t="n">
        <v>304</v>
      </c>
      <c r="D28" s="2" t="n">
        <v>3</v>
      </c>
      <c r="E28" s="2" t="s">
        <v>312</v>
      </c>
      <c r="F28" s="2" t="s">
        <v>313</v>
      </c>
    </row>
    <row r="29" customFormat="false" ht="15" hidden="false" customHeight="false" outlineLevel="0" collapsed="false">
      <c r="A29" s="4" t="n">
        <v>628</v>
      </c>
      <c r="B29" s="4" t="n">
        <v>1010</v>
      </c>
      <c r="C29" s="4" t="n">
        <v>311</v>
      </c>
      <c r="D29" s="4" t="n">
        <v>4</v>
      </c>
      <c r="E29" s="4" t="s">
        <v>310</v>
      </c>
      <c r="F29" s="4" t="s">
        <v>311</v>
      </c>
    </row>
    <row r="30" customFormat="false" ht="15" hidden="false" customHeight="false" outlineLevel="0" collapsed="false">
      <c r="A30" s="2" t="n">
        <v>629</v>
      </c>
      <c r="B30" s="2" t="n">
        <v>1010</v>
      </c>
      <c r="C30" s="2" t="n">
        <v>303</v>
      </c>
      <c r="D30" s="2" t="n">
        <v>4</v>
      </c>
      <c r="E30" s="2" t="s">
        <v>310</v>
      </c>
      <c r="F30" s="2" t="s">
        <v>311</v>
      </c>
    </row>
    <row r="31" customFormat="false" ht="15" hidden="false" customHeight="false" outlineLevel="0" collapsed="false">
      <c r="A31" s="4" t="n">
        <v>630</v>
      </c>
      <c r="B31" s="4" t="n">
        <v>1010</v>
      </c>
      <c r="C31" s="4" t="n">
        <v>312</v>
      </c>
      <c r="D31" s="4" t="n">
        <v>5</v>
      </c>
      <c r="E31" s="4" t="s">
        <v>312</v>
      </c>
      <c r="F31" s="4" t="s">
        <v>313</v>
      </c>
    </row>
    <row r="32" customFormat="false" ht="15" hidden="false" customHeight="false" outlineLevel="0" collapsed="false">
      <c r="A32" s="2" t="n">
        <v>631</v>
      </c>
      <c r="B32" s="2" t="n">
        <v>1011</v>
      </c>
      <c r="C32" s="2" t="n">
        <v>307</v>
      </c>
      <c r="D32" s="2" t="n">
        <v>2</v>
      </c>
      <c r="E32" s="2" t="s">
        <v>310</v>
      </c>
      <c r="F32" s="2" t="s">
        <v>311</v>
      </c>
    </row>
    <row r="33" customFormat="false" ht="15" hidden="false" customHeight="false" outlineLevel="0" collapsed="false">
      <c r="A33" s="4" t="n">
        <v>632</v>
      </c>
      <c r="B33" s="4" t="n">
        <v>1011</v>
      </c>
      <c r="C33" s="4" t="n">
        <v>315</v>
      </c>
      <c r="D33" s="4" t="n">
        <v>2</v>
      </c>
      <c r="E33" s="4" t="s">
        <v>310</v>
      </c>
      <c r="F33" s="4" t="s">
        <v>311</v>
      </c>
    </row>
    <row r="34" customFormat="false" ht="15" hidden="false" customHeight="false" outlineLevel="0" collapsed="false">
      <c r="A34" s="2" t="n">
        <v>633</v>
      </c>
      <c r="B34" s="2" t="n">
        <v>1011</v>
      </c>
      <c r="C34" s="2" t="n">
        <v>311</v>
      </c>
      <c r="D34" s="2" t="n">
        <v>3</v>
      </c>
      <c r="E34" s="2" t="s">
        <v>312</v>
      </c>
      <c r="F34" s="2" t="s">
        <v>313</v>
      </c>
    </row>
    <row r="35" customFormat="false" ht="15" hidden="false" customHeight="false" outlineLevel="0" collapsed="false">
      <c r="A35" s="4" t="n">
        <v>634</v>
      </c>
      <c r="B35" s="4" t="n">
        <v>1012</v>
      </c>
      <c r="C35" s="4" t="n">
        <v>304</v>
      </c>
      <c r="D35" s="4" t="n">
        <v>4</v>
      </c>
      <c r="E35" s="4" t="s">
        <v>310</v>
      </c>
      <c r="F35" s="4" t="s">
        <v>311</v>
      </c>
    </row>
    <row r="36" customFormat="false" ht="15" hidden="false" customHeight="false" outlineLevel="0" collapsed="false">
      <c r="A36" s="2" t="n">
        <v>635</v>
      </c>
      <c r="B36" s="2" t="n">
        <v>1012</v>
      </c>
      <c r="C36" s="2" t="n">
        <v>305</v>
      </c>
      <c r="D36" s="2" t="n">
        <v>4</v>
      </c>
      <c r="E36" s="2" t="s">
        <v>310</v>
      </c>
      <c r="F36" s="2" t="s">
        <v>311</v>
      </c>
    </row>
    <row r="37" customFormat="false" ht="15" hidden="false" customHeight="false" outlineLevel="0" collapsed="false">
      <c r="A37" s="4" t="n">
        <v>636</v>
      </c>
      <c r="B37" s="4" t="n">
        <v>1012</v>
      </c>
      <c r="C37" s="4" t="n">
        <v>313</v>
      </c>
      <c r="D37" s="4" t="n">
        <v>5</v>
      </c>
      <c r="E37" s="4" t="s">
        <v>312</v>
      </c>
      <c r="F37" s="4" t="s">
        <v>313</v>
      </c>
    </row>
    <row r="38" customFormat="false" ht="15" hidden="false" customHeight="false" outlineLevel="0" collapsed="false">
      <c r="A38" s="2" t="n">
        <v>637</v>
      </c>
      <c r="B38" s="2" t="n">
        <v>1013</v>
      </c>
      <c r="C38" s="2" t="n">
        <v>306</v>
      </c>
      <c r="D38" s="2" t="n">
        <v>6</v>
      </c>
      <c r="E38" s="2" t="s">
        <v>310</v>
      </c>
      <c r="F38" s="2" t="s">
        <v>311</v>
      </c>
    </row>
    <row r="39" customFormat="false" ht="15" hidden="false" customHeight="false" outlineLevel="0" collapsed="false">
      <c r="A39" s="4" t="n">
        <v>638</v>
      </c>
      <c r="B39" s="4" t="n">
        <v>1013</v>
      </c>
      <c r="C39" s="4" t="n">
        <v>305</v>
      </c>
      <c r="D39" s="4" t="n">
        <v>6</v>
      </c>
      <c r="E39" s="4" t="s">
        <v>310</v>
      </c>
      <c r="F39" s="4" t="s">
        <v>311</v>
      </c>
    </row>
    <row r="40" customFormat="false" ht="15" hidden="false" customHeight="false" outlineLevel="0" collapsed="false">
      <c r="A40" s="2" t="n">
        <v>639</v>
      </c>
      <c r="B40" s="2" t="n">
        <v>1013</v>
      </c>
      <c r="C40" s="2" t="n">
        <v>314</v>
      </c>
      <c r="D40" s="2" t="n">
        <v>7</v>
      </c>
      <c r="E40" s="2" t="s">
        <v>312</v>
      </c>
      <c r="F40" s="2" t="s">
        <v>313</v>
      </c>
    </row>
    <row r="41" customFormat="false" ht="15" hidden="false" customHeight="false" outlineLevel="0" collapsed="false">
      <c r="A41" s="4" t="n">
        <v>640</v>
      </c>
      <c r="B41" s="4" t="n">
        <v>1014</v>
      </c>
      <c r="C41" s="4" t="n">
        <v>307</v>
      </c>
      <c r="D41" s="4" t="n">
        <v>2</v>
      </c>
      <c r="E41" s="4" t="s">
        <v>310</v>
      </c>
      <c r="F41" s="4" t="s">
        <v>311</v>
      </c>
    </row>
    <row r="42" customFormat="false" ht="15" hidden="false" customHeight="false" outlineLevel="0" collapsed="false">
      <c r="A42" s="2" t="n">
        <v>641</v>
      </c>
      <c r="B42" s="2" t="n">
        <v>1014</v>
      </c>
      <c r="C42" s="2" t="n">
        <v>315</v>
      </c>
      <c r="D42" s="2" t="n">
        <v>2</v>
      </c>
      <c r="E42" s="2" t="s">
        <v>310</v>
      </c>
      <c r="F42" s="2" t="s">
        <v>311</v>
      </c>
    </row>
    <row r="43" customFormat="false" ht="15" hidden="false" customHeight="false" outlineLevel="0" collapsed="false">
      <c r="A43" s="4" t="n">
        <v>642</v>
      </c>
      <c r="B43" s="4" t="n">
        <v>1014</v>
      </c>
      <c r="C43" s="4" t="n">
        <v>316</v>
      </c>
      <c r="D43" s="4" t="n">
        <v>3</v>
      </c>
      <c r="E43" s="4" t="s">
        <v>312</v>
      </c>
      <c r="F43" s="4" t="s">
        <v>313</v>
      </c>
    </row>
    <row r="44" customFormat="false" ht="15" hidden="false" customHeight="false" outlineLevel="0" collapsed="false">
      <c r="A44" s="2" t="n">
        <v>643</v>
      </c>
      <c r="B44" s="2" t="n">
        <v>1015</v>
      </c>
      <c r="C44" s="2" t="n">
        <v>306</v>
      </c>
      <c r="D44" s="2" t="n">
        <v>4</v>
      </c>
      <c r="E44" s="2" t="s">
        <v>310</v>
      </c>
      <c r="F44" s="2" t="s">
        <v>311</v>
      </c>
    </row>
    <row r="45" customFormat="false" ht="15" hidden="false" customHeight="false" outlineLevel="0" collapsed="false">
      <c r="A45" s="4" t="n">
        <v>644</v>
      </c>
      <c r="B45" s="4" t="n">
        <v>1015</v>
      </c>
      <c r="C45" s="4" t="n">
        <v>307</v>
      </c>
      <c r="D45" s="4" t="n">
        <v>4</v>
      </c>
      <c r="E45" s="4" t="s">
        <v>310</v>
      </c>
      <c r="F45" s="4" t="s">
        <v>311</v>
      </c>
    </row>
    <row r="46" customFormat="false" ht="15" hidden="false" customHeight="false" outlineLevel="0" collapsed="false">
      <c r="A46" s="2" t="n">
        <v>645</v>
      </c>
      <c r="B46" s="2" t="n">
        <v>1015</v>
      </c>
      <c r="C46" s="2" t="n">
        <v>305</v>
      </c>
      <c r="D46" s="2" t="n">
        <v>5</v>
      </c>
      <c r="E46" s="2" t="s">
        <v>312</v>
      </c>
      <c r="F46" s="2" t="s">
        <v>313</v>
      </c>
    </row>
    <row r="47" customFormat="false" ht="15" hidden="false" customHeight="false" outlineLevel="0" collapsed="false">
      <c r="A47" s="4" t="n">
        <v>646</v>
      </c>
      <c r="B47" s="4" t="n">
        <v>1016</v>
      </c>
      <c r="C47" s="4" t="n">
        <v>301</v>
      </c>
      <c r="D47" s="4" t="n">
        <v>6</v>
      </c>
      <c r="E47" s="4" t="s">
        <v>310</v>
      </c>
      <c r="F47" s="4" t="s">
        <v>311</v>
      </c>
    </row>
    <row r="48" customFormat="false" ht="15" hidden="false" customHeight="false" outlineLevel="0" collapsed="false">
      <c r="A48" s="2" t="n">
        <v>647</v>
      </c>
      <c r="B48" s="2" t="n">
        <v>1016</v>
      </c>
      <c r="C48" s="2" t="n">
        <v>302</v>
      </c>
      <c r="D48" s="2" t="n">
        <v>6</v>
      </c>
      <c r="E48" s="2" t="s">
        <v>310</v>
      </c>
      <c r="F48" s="2" t="s">
        <v>311</v>
      </c>
    </row>
    <row r="49" customFormat="false" ht="15" hidden="false" customHeight="false" outlineLevel="0" collapsed="false">
      <c r="A49" s="4" t="n">
        <v>648</v>
      </c>
      <c r="B49" s="4" t="n">
        <v>1016</v>
      </c>
      <c r="C49" s="4" t="n">
        <v>308</v>
      </c>
      <c r="D49" s="4" t="n">
        <v>7</v>
      </c>
      <c r="E49" s="4" t="s">
        <v>312</v>
      </c>
      <c r="F49" s="4" t="s">
        <v>313</v>
      </c>
    </row>
    <row r="50" customFormat="false" ht="15" hidden="false" customHeight="false" outlineLevel="0" collapsed="false">
      <c r="A50" s="2" t="n">
        <v>649</v>
      </c>
      <c r="B50" s="2" t="n">
        <v>1017</v>
      </c>
      <c r="C50" s="2" t="n">
        <v>302</v>
      </c>
      <c r="D50" s="2" t="n">
        <v>4</v>
      </c>
      <c r="E50" s="2" t="s">
        <v>310</v>
      </c>
      <c r="F50" s="2" t="s">
        <v>311</v>
      </c>
    </row>
    <row r="51" customFormat="false" ht="15" hidden="false" customHeight="false" outlineLevel="0" collapsed="false">
      <c r="A51" s="4" t="n">
        <v>650</v>
      </c>
      <c r="B51" s="4" t="n">
        <v>1017</v>
      </c>
      <c r="C51" s="4" t="n">
        <v>310</v>
      </c>
      <c r="D51" s="4" t="n">
        <v>4</v>
      </c>
      <c r="E51" s="4" t="s">
        <v>310</v>
      </c>
      <c r="F51" s="4" t="s">
        <v>311</v>
      </c>
    </row>
    <row r="52" customFormat="false" ht="15" hidden="false" customHeight="false" outlineLevel="0" collapsed="false">
      <c r="A52" s="2" t="n">
        <v>651</v>
      </c>
      <c r="B52" s="2" t="n">
        <v>1017</v>
      </c>
      <c r="C52" s="2" t="n">
        <v>301</v>
      </c>
      <c r="D52" s="2" t="n">
        <v>5</v>
      </c>
      <c r="E52" s="2" t="s">
        <v>312</v>
      </c>
      <c r="F52" s="2" t="s">
        <v>313</v>
      </c>
    </row>
    <row r="53" customFormat="false" ht="15" hidden="false" customHeight="false" outlineLevel="0" collapsed="false">
      <c r="A53" s="4" t="n">
        <v>652</v>
      </c>
      <c r="B53" s="4" t="n">
        <v>1018</v>
      </c>
      <c r="C53" s="4" t="n">
        <v>303</v>
      </c>
      <c r="D53" s="4" t="n">
        <v>2</v>
      </c>
      <c r="E53" s="4" t="s">
        <v>310</v>
      </c>
      <c r="F53" s="4" t="s">
        <v>311</v>
      </c>
    </row>
    <row r="54" customFormat="false" ht="15" hidden="false" customHeight="false" outlineLevel="0" collapsed="false">
      <c r="A54" s="2" t="n">
        <v>653</v>
      </c>
      <c r="B54" s="2" t="n">
        <v>1018</v>
      </c>
      <c r="C54" s="2" t="n">
        <v>305</v>
      </c>
      <c r="D54" s="2" t="n">
        <v>2</v>
      </c>
      <c r="E54" s="2" t="s">
        <v>310</v>
      </c>
      <c r="F54" s="2" t="s">
        <v>311</v>
      </c>
    </row>
    <row r="55" customFormat="false" ht="15" hidden="false" customHeight="false" outlineLevel="0" collapsed="false">
      <c r="A55" s="4" t="n">
        <v>654</v>
      </c>
      <c r="B55" s="4" t="n">
        <v>1018</v>
      </c>
      <c r="C55" s="4" t="n">
        <v>302</v>
      </c>
      <c r="D55" s="4" t="n">
        <v>3</v>
      </c>
      <c r="E55" s="4" t="s">
        <v>312</v>
      </c>
      <c r="F55" s="4" t="s">
        <v>313</v>
      </c>
    </row>
    <row r="56" customFormat="false" ht="15" hidden="false" customHeight="false" outlineLevel="0" collapsed="false">
      <c r="A56" s="2" t="n">
        <v>655</v>
      </c>
      <c r="B56" s="2" t="n">
        <v>1019</v>
      </c>
      <c r="C56" s="2" t="n">
        <v>302</v>
      </c>
      <c r="D56" s="2" t="n">
        <v>6</v>
      </c>
      <c r="E56" s="2" t="s">
        <v>310</v>
      </c>
      <c r="F56" s="2" t="s">
        <v>311</v>
      </c>
    </row>
    <row r="57" customFormat="false" ht="15" hidden="false" customHeight="false" outlineLevel="0" collapsed="false">
      <c r="A57" s="4" t="n">
        <v>656</v>
      </c>
      <c r="B57" s="4" t="n">
        <v>1019</v>
      </c>
      <c r="C57" s="4" t="n">
        <v>305</v>
      </c>
      <c r="D57" s="4" t="n">
        <v>6</v>
      </c>
      <c r="E57" s="4" t="s">
        <v>310</v>
      </c>
      <c r="F57" s="4" t="s">
        <v>311</v>
      </c>
    </row>
    <row r="58" customFormat="false" ht="15" hidden="false" customHeight="false" outlineLevel="0" collapsed="false">
      <c r="A58" s="2" t="n">
        <v>657</v>
      </c>
      <c r="B58" s="2" t="n">
        <v>1019</v>
      </c>
      <c r="C58" s="2" t="n">
        <v>309</v>
      </c>
      <c r="D58" s="2" t="n">
        <v>7</v>
      </c>
      <c r="E58" s="2" t="s">
        <v>312</v>
      </c>
      <c r="F58" s="2" t="s">
        <v>313</v>
      </c>
    </row>
    <row r="59" customFormat="false" ht="15" hidden="false" customHeight="false" outlineLevel="0" collapsed="false">
      <c r="A59" s="4" t="n">
        <v>658</v>
      </c>
      <c r="B59" s="4" t="n">
        <v>1020</v>
      </c>
      <c r="C59" s="4" t="n">
        <v>303</v>
      </c>
      <c r="D59" s="4" t="n">
        <v>4</v>
      </c>
      <c r="E59" s="4" t="s">
        <v>310</v>
      </c>
      <c r="F59" s="4" t="s">
        <v>311</v>
      </c>
    </row>
    <row r="60" customFormat="false" ht="15" hidden="false" customHeight="false" outlineLevel="0" collapsed="false">
      <c r="A60" s="2" t="n">
        <v>659</v>
      </c>
      <c r="B60" s="2" t="n">
        <v>1020</v>
      </c>
      <c r="C60" s="2" t="n">
        <v>311</v>
      </c>
      <c r="D60" s="2" t="n">
        <v>4</v>
      </c>
      <c r="E60" s="2" t="s">
        <v>310</v>
      </c>
      <c r="F60" s="2" t="s">
        <v>311</v>
      </c>
    </row>
    <row r="61" customFormat="false" ht="15" hidden="false" customHeight="false" outlineLevel="0" collapsed="false">
      <c r="A61" s="4" t="n">
        <v>660</v>
      </c>
      <c r="B61" s="4" t="n">
        <v>1020</v>
      </c>
      <c r="C61" s="4" t="n">
        <v>302</v>
      </c>
      <c r="D61" s="4" t="n">
        <v>5</v>
      </c>
      <c r="E61" s="4" t="s">
        <v>312</v>
      </c>
      <c r="F61" s="4" t="s">
        <v>313</v>
      </c>
    </row>
    <row r="62" customFormat="false" ht="15" hidden="false" customHeight="false" outlineLevel="0" collapsed="false">
      <c r="A62" s="2" t="n">
        <v>661</v>
      </c>
      <c r="B62" s="2" t="n">
        <v>1021</v>
      </c>
      <c r="C62" s="2" t="n">
        <v>303</v>
      </c>
      <c r="D62" s="2" t="n">
        <v>2</v>
      </c>
      <c r="E62" s="2" t="s">
        <v>310</v>
      </c>
      <c r="F62" s="2" t="s">
        <v>311</v>
      </c>
    </row>
    <row r="63" customFormat="false" ht="15" hidden="false" customHeight="false" outlineLevel="0" collapsed="false">
      <c r="A63" s="4" t="n">
        <v>662</v>
      </c>
      <c r="B63" s="4" t="n">
        <v>1021</v>
      </c>
      <c r="C63" s="4" t="n">
        <v>307</v>
      </c>
      <c r="D63" s="4" t="n">
        <v>2</v>
      </c>
      <c r="E63" s="4" t="s">
        <v>310</v>
      </c>
      <c r="F63" s="4" t="s">
        <v>311</v>
      </c>
    </row>
    <row r="64" customFormat="false" ht="15" hidden="false" customHeight="false" outlineLevel="0" collapsed="false">
      <c r="A64" s="2" t="n">
        <v>663</v>
      </c>
      <c r="B64" s="2" t="n">
        <v>1021</v>
      </c>
      <c r="C64" s="2" t="n">
        <v>310</v>
      </c>
      <c r="D64" s="2" t="n">
        <v>3</v>
      </c>
      <c r="E64" s="2" t="s">
        <v>312</v>
      </c>
      <c r="F64" s="2" t="s">
        <v>313</v>
      </c>
    </row>
    <row r="65" customFormat="false" ht="15" hidden="false" customHeight="false" outlineLevel="0" collapsed="false">
      <c r="A65" s="4" t="n">
        <v>664</v>
      </c>
      <c r="B65" s="4" t="n">
        <v>1022</v>
      </c>
      <c r="C65" s="4" t="n">
        <v>303</v>
      </c>
      <c r="D65" s="4" t="n">
        <v>4</v>
      </c>
      <c r="E65" s="4" t="s">
        <v>310</v>
      </c>
      <c r="F65" s="4" t="s">
        <v>311</v>
      </c>
    </row>
    <row r="66" customFormat="false" ht="15" hidden="false" customHeight="false" outlineLevel="0" collapsed="false">
      <c r="A66" s="2" t="n">
        <v>665</v>
      </c>
      <c r="B66" s="2" t="n">
        <v>1022</v>
      </c>
      <c r="C66" s="2" t="n">
        <v>311</v>
      </c>
      <c r="D66" s="2" t="n">
        <v>4</v>
      </c>
      <c r="E66" s="2" t="s">
        <v>310</v>
      </c>
      <c r="F66" s="2" t="s">
        <v>311</v>
      </c>
    </row>
    <row r="67" customFormat="false" ht="15" hidden="false" customHeight="false" outlineLevel="0" collapsed="false">
      <c r="A67" s="4" t="n">
        <v>666</v>
      </c>
      <c r="B67" s="4" t="n">
        <v>1022</v>
      </c>
      <c r="C67" s="4" t="n">
        <v>310</v>
      </c>
      <c r="D67" s="4" t="n">
        <v>5</v>
      </c>
      <c r="E67" s="4" t="s">
        <v>312</v>
      </c>
      <c r="F67" s="4" t="s">
        <v>313</v>
      </c>
    </row>
    <row r="68" customFormat="false" ht="15" hidden="false" customHeight="false" outlineLevel="0" collapsed="false">
      <c r="A68" s="2" t="n">
        <v>667</v>
      </c>
      <c r="B68" s="2" t="n">
        <v>1023</v>
      </c>
      <c r="C68" s="2" t="n">
        <v>304</v>
      </c>
      <c r="D68" s="2" t="n">
        <v>6</v>
      </c>
      <c r="E68" s="2" t="s">
        <v>310</v>
      </c>
      <c r="F68" s="2" t="s">
        <v>311</v>
      </c>
    </row>
    <row r="69" customFormat="false" ht="15" hidden="false" customHeight="false" outlineLevel="0" collapsed="false">
      <c r="A69" s="4" t="n">
        <v>668</v>
      </c>
      <c r="B69" s="4" t="n">
        <v>1023</v>
      </c>
      <c r="C69" s="4" t="n">
        <v>305</v>
      </c>
      <c r="D69" s="4" t="n">
        <v>6</v>
      </c>
      <c r="E69" s="4" t="s">
        <v>310</v>
      </c>
      <c r="F69" s="4" t="s">
        <v>311</v>
      </c>
    </row>
    <row r="70" customFormat="false" ht="15" hidden="false" customHeight="false" outlineLevel="0" collapsed="false">
      <c r="A70" s="2" t="n">
        <v>669</v>
      </c>
      <c r="B70" s="2" t="n">
        <v>1023</v>
      </c>
      <c r="C70" s="2" t="n">
        <v>313</v>
      </c>
      <c r="D70" s="2" t="n">
        <v>7</v>
      </c>
      <c r="E70" s="2" t="s">
        <v>312</v>
      </c>
      <c r="F70" s="2" t="s">
        <v>313</v>
      </c>
    </row>
    <row r="71" customFormat="false" ht="15" hidden="false" customHeight="false" outlineLevel="0" collapsed="false">
      <c r="A71" s="4" t="n">
        <v>670</v>
      </c>
      <c r="B71" s="4" t="n">
        <v>1024</v>
      </c>
      <c r="C71" s="4" t="n">
        <v>303</v>
      </c>
      <c r="D71" s="4" t="n">
        <v>2</v>
      </c>
      <c r="E71" s="4" t="s">
        <v>310</v>
      </c>
      <c r="F71" s="4" t="s">
        <v>311</v>
      </c>
    </row>
    <row r="72" customFormat="false" ht="15" hidden="false" customHeight="false" outlineLevel="0" collapsed="false">
      <c r="A72" s="2" t="n">
        <v>671</v>
      </c>
      <c r="B72" s="2" t="n">
        <v>1024</v>
      </c>
      <c r="C72" s="2" t="n">
        <v>307</v>
      </c>
      <c r="D72" s="2" t="n">
        <v>2</v>
      </c>
      <c r="E72" s="2" t="s">
        <v>310</v>
      </c>
      <c r="F72" s="2" t="s">
        <v>311</v>
      </c>
    </row>
    <row r="73" customFormat="false" ht="15" hidden="false" customHeight="false" outlineLevel="0" collapsed="false">
      <c r="A73" s="4" t="n">
        <v>672</v>
      </c>
      <c r="B73" s="4" t="n">
        <v>1024</v>
      </c>
      <c r="C73" s="4" t="n">
        <v>304</v>
      </c>
      <c r="D73" s="4" t="n">
        <v>3</v>
      </c>
      <c r="E73" s="4" t="s">
        <v>312</v>
      </c>
      <c r="F73" s="4" t="s">
        <v>313</v>
      </c>
    </row>
    <row r="74" customFormat="false" ht="15" hidden="false" customHeight="false" outlineLevel="0" collapsed="false">
      <c r="A74" s="2" t="n">
        <v>673</v>
      </c>
      <c r="B74" s="2" t="n">
        <v>1025</v>
      </c>
      <c r="C74" s="2" t="n">
        <v>311</v>
      </c>
      <c r="D74" s="2" t="n">
        <v>4</v>
      </c>
      <c r="E74" s="2" t="s">
        <v>310</v>
      </c>
      <c r="F74" s="2" t="s">
        <v>311</v>
      </c>
    </row>
    <row r="75" customFormat="false" ht="15" hidden="false" customHeight="false" outlineLevel="0" collapsed="false">
      <c r="A75" s="4" t="n">
        <v>674</v>
      </c>
      <c r="B75" s="4" t="n">
        <v>1025</v>
      </c>
      <c r="C75" s="4" t="n">
        <v>303</v>
      </c>
      <c r="D75" s="4" t="n">
        <v>4</v>
      </c>
      <c r="E75" s="4" t="s">
        <v>310</v>
      </c>
      <c r="F75" s="4" t="s">
        <v>311</v>
      </c>
    </row>
    <row r="76" customFormat="false" ht="15" hidden="false" customHeight="false" outlineLevel="0" collapsed="false">
      <c r="A76" s="2" t="n">
        <v>675</v>
      </c>
      <c r="B76" s="2" t="n">
        <v>1025</v>
      </c>
      <c r="C76" s="2" t="n">
        <v>312</v>
      </c>
      <c r="D76" s="2" t="n">
        <v>5</v>
      </c>
      <c r="E76" s="2" t="s">
        <v>312</v>
      </c>
      <c r="F76" s="2" t="s">
        <v>313</v>
      </c>
    </row>
    <row r="77" customFormat="false" ht="15" hidden="false" customHeight="false" outlineLevel="0" collapsed="false">
      <c r="A77" s="4" t="n">
        <v>676</v>
      </c>
      <c r="B77" s="4" t="n">
        <v>1026</v>
      </c>
      <c r="C77" s="4" t="n">
        <v>307</v>
      </c>
      <c r="D77" s="4" t="n">
        <v>2</v>
      </c>
      <c r="E77" s="4" t="s">
        <v>310</v>
      </c>
      <c r="F77" s="4" t="s">
        <v>311</v>
      </c>
    </row>
    <row r="78" customFormat="false" ht="15" hidden="false" customHeight="false" outlineLevel="0" collapsed="false">
      <c r="A78" s="2" t="n">
        <v>677</v>
      </c>
      <c r="B78" s="2" t="n">
        <v>1026</v>
      </c>
      <c r="C78" s="2" t="n">
        <v>315</v>
      </c>
      <c r="D78" s="2" t="n">
        <v>2</v>
      </c>
      <c r="E78" s="2" t="s">
        <v>310</v>
      </c>
      <c r="F78" s="2" t="s">
        <v>311</v>
      </c>
    </row>
    <row r="79" customFormat="false" ht="15" hidden="false" customHeight="false" outlineLevel="0" collapsed="false">
      <c r="A79" s="4" t="n">
        <v>678</v>
      </c>
      <c r="B79" s="4" t="n">
        <v>1026</v>
      </c>
      <c r="C79" s="4" t="n">
        <v>311</v>
      </c>
      <c r="D79" s="4" t="n">
        <v>3</v>
      </c>
      <c r="E79" s="4" t="s">
        <v>312</v>
      </c>
      <c r="F79" s="4" t="s">
        <v>313</v>
      </c>
    </row>
    <row r="80" customFormat="false" ht="15" hidden="false" customHeight="false" outlineLevel="0" collapsed="false">
      <c r="A80" s="2" t="n">
        <v>679</v>
      </c>
      <c r="B80" s="2" t="n">
        <v>1027</v>
      </c>
      <c r="C80" s="2" t="n">
        <v>304</v>
      </c>
      <c r="D80" s="2" t="n">
        <v>4</v>
      </c>
      <c r="E80" s="2" t="s">
        <v>310</v>
      </c>
      <c r="F80" s="2" t="s">
        <v>311</v>
      </c>
    </row>
    <row r="81" customFormat="false" ht="15" hidden="false" customHeight="false" outlineLevel="0" collapsed="false">
      <c r="A81" s="4" t="n">
        <v>680</v>
      </c>
      <c r="B81" s="4" t="n">
        <v>1027</v>
      </c>
      <c r="C81" s="4" t="n">
        <v>305</v>
      </c>
      <c r="D81" s="4" t="n">
        <v>4</v>
      </c>
      <c r="E81" s="4" t="s">
        <v>310</v>
      </c>
      <c r="F81" s="4" t="s">
        <v>311</v>
      </c>
    </row>
    <row r="82" customFormat="false" ht="15" hidden="false" customHeight="false" outlineLevel="0" collapsed="false">
      <c r="A82" s="2" t="n">
        <v>681</v>
      </c>
      <c r="B82" s="2" t="n">
        <v>1027</v>
      </c>
      <c r="C82" s="2" t="n">
        <v>313</v>
      </c>
      <c r="D82" s="2" t="n">
        <v>5</v>
      </c>
      <c r="E82" s="2" t="s">
        <v>312</v>
      </c>
      <c r="F82" s="2" t="s">
        <v>313</v>
      </c>
    </row>
    <row r="83" customFormat="false" ht="15" hidden="false" customHeight="false" outlineLevel="0" collapsed="false">
      <c r="A83" s="4" t="n">
        <v>682</v>
      </c>
      <c r="B83" s="4" t="n">
        <v>1028</v>
      </c>
      <c r="C83" s="4" t="n">
        <v>306</v>
      </c>
      <c r="D83" s="4" t="n">
        <v>6</v>
      </c>
      <c r="E83" s="4" t="s">
        <v>310</v>
      </c>
      <c r="F83" s="4" t="s">
        <v>311</v>
      </c>
    </row>
    <row r="84" customFormat="false" ht="15" hidden="false" customHeight="false" outlineLevel="0" collapsed="false">
      <c r="A84" s="2" t="n">
        <v>683</v>
      </c>
      <c r="B84" s="2" t="n">
        <v>1028</v>
      </c>
      <c r="C84" s="2" t="n">
        <v>305</v>
      </c>
      <c r="D84" s="2" t="n">
        <v>6</v>
      </c>
      <c r="E84" s="2" t="s">
        <v>310</v>
      </c>
      <c r="F84" s="2" t="s">
        <v>311</v>
      </c>
    </row>
    <row r="85" customFormat="false" ht="15" hidden="false" customHeight="false" outlineLevel="0" collapsed="false">
      <c r="A85" s="4" t="n">
        <v>684</v>
      </c>
      <c r="B85" s="4" t="n">
        <v>1028</v>
      </c>
      <c r="C85" s="4" t="n">
        <v>314</v>
      </c>
      <c r="D85" s="4" t="n">
        <v>7</v>
      </c>
      <c r="E85" s="4" t="s">
        <v>312</v>
      </c>
      <c r="F85" s="4" t="s">
        <v>314</v>
      </c>
    </row>
    <row r="86" customFormat="false" ht="15" hidden="false" customHeight="false" outlineLevel="0" collapsed="false">
      <c r="A86" s="2" t="n">
        <v>685</v>
      </c>
      <c r="B86" s="2" t="n">
        <v>1029</v>
      </c>
      <c r="C86" s="2" t="n">
        <v>307</v>
      </c>
      <c r="D86" s="2" t="n">
        <v>2</v>
      </c>
      <c r="E86" s="2" t="s">
        <v>310</v>
      </c>
      <c r="F86" s="2" t="s">
        <v>311</v>
      </c>
    </row>
    <row r="87" customFormat="false" ht="15" hidden="false" customHeight="false" outlineLevel="0" collapsed="false">
      <c r="A87" s="4" t="n">
        <v>686</v>
      </c>
      <c r="B87" s="4" t="n">
        <v>1029</v>
      </c>
      <c r="C87" s="4" t="n">
        <v>315</v>
      </c>
      <c r="D87" s="4" t="n">
        <v>2</v>
      </c>
      <c r="E87" s="4" t="s">
        <v>310</v>
      </c>
      <c r="F87" s="4" t="s">
        <v>311</v>
      </c>
    </row>
    <row r="88" customFormat="false" ht="15" hidden="false" customHeight="false" outlineLevel="0" collapsed="false">
      <c r="A88" s="2" t="n">
        <v>687</v>
      </c>
      <c r="B88" s="2" t="n">
        <v>1029</v>
      </c>
      <c r="C88" s="2" t="n">
        <v>316</v>
      </c>
      <c r="D88" s="2" t="n">
        <v>3</v>
      </c>
      <c r="E88" s="2" t="s">
        <v>312</v>
      </c>
      <c r="F88" s="2" t="s">
        <v>313</v>
      </c>
    </row>
    <row r="89" customFormat="false" ht="15" hidden="false" customHeight="false" outlineLevel="0" collapsed="false">
      <c r="A89" s="4" t="n">
        <v>688</v>
      </c>
      <c r="B89" s="4" t="n">
        <v>1030</v>
      </c>
      <c r="C89" s="4" t="n">
        <v>306</v>
      </c>
      <c r="D89" s="4" t="n">
        <v>4</v>
      </c>
      <c r="E89" s="4" t="s">
        <v>310</v>
      </c>
      <c r="F89" s="4" t="s">
        <v>311</v>
      </c>
    </row>
    <row r="90" customFormat="false" ht="15" hidden="false" customHeight="false" outlineLevel="0" collapsed="false">
      <c r="A90" s="2" t="n">
        <v>689</v>
      </c>
      <c r="B90" s="2" t="n">
        <v>1030</v>
      </c>
      <c r="C90" s="2" t="n">
        <v>307</v>
      </c>
      <c r="D90" s="2" t="n">
        <v>4</v>
      </c>
      <c r="E90" s="2" t="s">
        <v>310</v>
      </c>
      <c r="F90" s="2" t="s">
        <v>311</v>
      </c>
    </row>
    <row r="91" customFormat="false" ht="15" hidden="false" customHeight="false" outlineLevel="0" collapsed="false">
      <c r="A91" s="4" t="n">
        <v>690</v>
      </c>
      <c r="B91" s="4" t="n">
        <v>1030</v>
      </c>
      <c r="C91" s="4" t="n">
        <v>305</v>
      </c>
      <c r="D91" s="4" t="n">
        <v>5</v>
      </c>
      <c r="E91" s="4" t="s">
        <v>312</v>
      </c>
      <c r="F91" s="4" t="s">
        <v>313</v>
      </c>
    </row>
  </sheetData>
  <autoFilter ref="A1:F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315</v>
      </c>
      <c r="B1" s="1" t="s">
        <v>306</v>
      </c>
      <c r="C1" s="1" t="s">
        <v>145</v>
      </c>
      <c r="D1" s="1" t="s">
        <v>316</v>
      </c>
      <c r="E1" s="1" t="s">
        <v>317</v>
      </c>
    </row>
    <row r="2" customFormat="false" ht="15" hidden="false" customHeight="false" outlineLevel="0" collapsed="false">
      <c r="A2" s="2" t="n">
        <v>701</v>
      </c>
      <c r="B2" s="2" t="n">
        <v>601</v>
      </c>
      <c r="C2" s="2" t="n">
        <v>201</v>
      </c>
      <c r="D2" s="2" t="n">
        <v>86</v>
      </c>
      <c r="E2" s="3" t="n">
        <v>46177</v>
      </c>
    </row>
    <row r="3" customFormat="false" ht="15" hidden="false" customHeight="false" outlineLevel="0" collapsed="false">
      <c r="A3" s="4" t="n">
        <v>702</v>
      </c>
      <c r="B3" s="4" t="n">
        <v>602</v>
      </c>
      <c r="C3" s="4" t="n">
        <v>203</v>
      </c>
      <c r="D3" s="4" t="n">
        <v>97</v>
      </c>
      <c r="E3" s="5" t="n">
        <v>46178</v>
      </c>
    </row>
    <row r="4" customFormat="false" ht="15" hidden="false" customHeight="false" outlineLevel="0" collapsed="false">
      <c r="A4" s="2" t="n">
        <v>703</v>
      </c>
      <c r="B4" s="2" t="n">
        <v>604</v>
      </c>
      <c r="C4" s="2" t="n">
        <v>203</v>
      </c>
      <c r="D4" s="2" t="n">
        <v>89</v>
      </c>
      <c r="E4" s="3" t="n">
        <v>46176</v>
      </c>
    </row>
    <row r="5" customFormat="false" ht="15" hidden="false" customHeight="false" outlineLevel="0" collapsed="false">
      <c r="A5" s="4" t="n">
        <v>704</v>
      </c>
      <c r="B5" s="4" t="n">
        <v>605</v>
      </c>
      <c r="C5" s="4" t="n">
        <v>211</v>
      </c>
      <c r="D5" s="4" t="n">
        <v>93</v>
      </c>
      <c r="E5" s="5" t="n">
        <v>46174</v>
      </c>
    </row>
    <row r="6" customFormat="false" ht="15" hidden="false" customHeight="false" outlineLevel="0" collapsed="false">
      <c r="A6" s="2" t="n">
        <v>705</v>
      </c>
      <c r="B6" s="2" t="n">
        <v>607</v>
      </c>
      <c r="C6" s="2" t="n">
        <v>204</v>
      </c>
      <c r="D6" s="2" t="n">
        <v>79</v>
      </c>
      <c r="E6" s="3" t="n">
        <v>46178</v>
      </c>
    </row>
    <row r="7" customFormat="false" ht="15" hidden="false" customHeight="false" outlineLevel="0" collapsed="false">
      <c r="A7" s="4" t="n">
        <v>706</v>
      </c>
      <c r="B7" s="4" t="n">
        <v>608</v>
      </c>
      <c r="C7" s="4" t="n">
        <v>206</v>
      </c>
      <c r="D7" s="4" t="n">
        <v>90</v>
      </c>
      <c r="E7" s="5" t="n">
        <v>46180</v>
      </c>
    </row>
    <row r="8" customFormat="false" ht="15" hidden="false" customHeight="false" outlineLevel="0" collapsed="false">
      <c r="A8" s="2" t="n">
        <v>707</v>
      </c>
      <c r="B8" s="2" t="n">
        <v>610</v>
      </c>
      <c r="C8" s="2" t="n">
        <v>203</v>
      </c>
      <c r="D8" s="2" t="n">
        <v>53</v>
      </c>
      <c r="E8" s="3" t="n">
        <v>46178</v>
      </c>
    </row>
    <row r="9" customFormat="false" ht="15" hidden="false" customHeight="false" outlineLevel="0" collapsed="false">
      <c r="A9" s="4" t="n">
        <v>708</v>
      </c>
      <c r="B9" s="4" t="n">
        <v>611</v>
      </c>
      <c r="C9" s="4" t="n">
        <v>206</v>
      </c>
      <c r="D9" s="4" t="n">
        <v>91</v>
      </c>
      <c r="E9" s="5" t="n">
        <v>46181</v>
      </c>
    </row>
    <row r="10" customFormat="false" ht="15" hidden="false" customHeight="false" outlineLevel="0" collapsed="false">
      <c r="A10" s="2" t="n">
        <v>709</v>
      </c>
      <c r="B10" s="2" t="n">
        <v>613</v>
      </c>
      <c r="C10" s="2" t="n">
        <v>204</v>
      </c>
      <c r="D10" s="2" t="n">
        <v>83</v>
      </c>
      <c r="E10" s="3" t="n">
        <v>46177</v>
      </c>
    </row>
    <row r="11" customFormat="false" ht="15" hidden="false" customHeight="false" outlineLevel="0" collapsed="false">
      <c r="A11" s="4" t="n">
        <v>710</v>
      </c>
      <c r="B11" s="4" t="n">
        <v>614</v>
      </c>
      <c r="C11" s="4" t="n">
        <v>212</v>
      </c>
      <c r="D11" s="4" t="n">
        <v>99</v>
      </c>
      <c r="E11" s="5" t="n">
        <v>46175</v>
      </c>
    </row>
    <row r="12" customFormat="false" ht="15" hidden="false" customHeight="false" outlineLevel="0" collapsed="false">
      <c r="A12" s="2" t="n">
        <v>711</v>
      </c>
      <c r="B12" s="2" t="n">
        <v>616</v>
      </c>
      <c r="C12" s="2" t="n">
        <v>204</v>
      </c>
      <c r="D12" s="2" t="n">
        <v>70</v>
      </c>
      <c r="E12" s="3" t="n">
        <v>46178</v>
      </c>
    </row>
    <row r="13" customFormat="false" ht="15" hidden="false" customHeight="false" outlineLevel="0" collapsed="false">
      <c r="A13" s="4" t="n">
        <v>712</v>
      </c>
      <c r="B13" s="4" t="n">
        <v>617</v>
      </c>
      <c r="C13" s="4" t="n">
        <v>208</v>
      </c>
      <c r="D13" s="4" t="n">
        <v>91</v>
      </c>
      <c r="E13" s="5" t="n">
        <v>46182</v>
      </c>
    </row>
    <row r="14" customFormat="false" ht="15" hidden="false" customHeight="false" outlineLevel="0" collapsed="false">
      <c r="A14" s="2" t="n">
        <v>713</v>
      </c>
      <c r="B14" s="2" t="n">
        <v>619</v>
      </c>
      <c r="C14" s="2" t="n">
        <v>204</v>
      </c>
      <c r="D14" s="2" t="n">
        <v>85</v>
      </c>
      <c r="E14" s="3" t="n">
        <v>46179</v>
      </c>
    </row>
    <row r="15" customFormat="false" ht="15" hidden="false" customHeight="false" outlineLevel="0" collapsed="false">
      <c r="A15" s="4" t="n">
        <v>714</v>
      </c>
      <c r="B15" s="4" t="n">
        <v>620</v>
      </c>
      <c r="C15" s="4" t="n">
        <v>212</v>
      </c>
      <c r="D15" s="4" t="n">
        <v>72</v>
      </c>
      <c r="E15" s="5" t="n">
        <v>46177</v>
      </c>
    </row>
    <row r="16" customFormat="false" ht="15" hidden="false" customHeight="false" outlineLevel="0" collapsed="false">
      <c r="A16" s="2" t="n">
        <v>715</v>
      </c>
      <c r="B16" s="2" t="n">
        <v>622</v>
      </c>
      <c r="C16" s="2" t="n">
        <v>205</v>
      </c>
      <c r="D16" s="2" t="n">
        <v>72</v>
      </c>
      <c r="E16" s="3" t="n">
        <v>46178</v>
      </c>
    </row>
    <row r="17" customFormat="false" ht="15" hidden="false" customHeight="false" outlineLevel="0" collapsed="false">
      <c r="A17" s="4" t="n">
        <v>716</v>
      </c>
      <c r="B17" s="4" t="n">
        <v>623</v>
      </c>
      <c r="C17" s="4" t="n">
        <v>206</v>
      </c>
      <c r="D17" s="4" t="n">
        <v>74</v>
      </c>
      <c r="E17" s="5" t="n">
        <v>46179</v>
      </c>
    </row>
    <row r="18" customFormat="false" ht="15" hidden="false" customHeight="false" outlineLevel="0" collapsed="false">
      <c r="A18" s="2" t="n">
        <v>717</v>
      </c>
      <c r="B18" s="2" t="n">
        <v>625</v>
      </c>
      <c r="C18" s="2" t="n">
        <v>204</v>
      </c>
      <c r="D18" s="2" t="n">
        <v>73</v>
      </c>
      <c r="E18" s="3" t="n">
        <v>46178</v>
      </c>
    </row>
    <row r="19" customFormat="false" ht="15" hidden="false" customHeight="false" outlineLevel="0" collapsed="false">
      <c r="A19" s="4" t="n">
        <v>718</v>
      </c>
      <c r="B19" s="4" t="n">
        <v>626</v>
      </c>
      <c r="C19" s="4" t="n">
        <v>208</v>
      </c>
      <c r="D19" s="4" t="n">
        <v>91</v>
      </c>
      <c r="E19" s="5" t="n">
        <v>46182</v>
      </c>
    </row>
    <row r="20" customFormat="false" ht="15" hidden="false" customHeight="false" outlineLevel="0" collapsed="false">
      <c r="A20" s="2" t="n">
        <v>719</v>
      </c>
      <c r="B20" s="2" t="n">
        <v>628</v>
      </c>
      <c r="C20" s="2" t="n">
        <v>212</v>
      </c>
      <c r="D20" s="2" t="n">
        <v>64</v>
      </c>
      <c r="E20" s="3" t="n">
        <v>46177</v>
      </c>
    </row>
    <row r="21" customFormat="false" ht="15" hidden="false" customHeight="false" outlineLevel="0" collapsed="false">
      <c r="A21" s="4" t="n">
        <v>720</v>
      </c>
      <c r="B21" s="4" t="n">
        <v>629</v>
      </c>
      <c r="C21" s="4" t="n">
        <v>204</v>
      </c>
      <c r="D21" s="4" t="n">
        <v>67</v>
      </c>
      <c r="E21" s="5" t="n">
        <v>46179</v>
      </c>
    </row>
    <row r="22" customFormat="false" ht="15" hidden="false" customHeight="false" outlineLevel="0" collapsed="false">
      <c r="A22" s="2" t="n">
        <v>721</v>
      </c>
      <c r="B22" s="2" t="n">
        <v>631</v>
      </c>
      <c r="C22" s="2" t="n">
        <v>208</v>
      </c>
      <c r="D22" s="2" t="n">
        <v>77</v>
      </c>
      <c r="E22" s="3" t="n">
        <v>46181</v>
      </c>
    </row>
    <row r="23" customFormat="false" ht="15" hidden="false" customHeight="false" outlineLevel="0" collapsed="false">
      <c r="A23" s="4" t="n">
        <v>722</v>
      </c>
      <c r="B23" s="4" t="n">
        <v>632</v>
      </c>
      <c r="C23" s="4" t="n">
        <v>216</v>
      </c>
      <c r="D23" s="4" t="n">
        <v>84</v>
      </c>
      <c r="E23" s="5" t="n">
        <v>46179</v>
      </c>
    </row>
    <row r="24" customFormat="false" ht="15" hidden="false" customHeight="false" outlineLevel="0" collapsed="false">
      <c r="A24" s="2" t="n">
        <v>723</v>
      </c>
      <c r="B24" s="2" t="n">
        <v>634</v>
      </c>
      <c r="C24" s="2" t="n">
        <v>205</v>
      </c>
      <c r="D24" s="2" t="n">
        <v>91</v>
      </c>
      <c r="E24" s="3" t="n">
        <v>46179</v>
      </c>
    </row>
    <row r="25" customFormat="false" ht="15" hidden="false" customHeight="false" outlineLevel="0" collapsed="false">
      <c r="A25" s="4" t="n">
        <v>724</v>
      </c>
      <c r="B25" s="4" t="n">
        <v>635</v>
      </c>
      <c r="C25" s="4" t="n">
        <v>206</v>
      </c>
      <c r="D25" s="4" t="n">
        <v>99</v>
      </c>
      <c r="E25" s="5" t="n">
        <v>46180</v>
      </c>
    </row>
    <row r="26" customFormat="false" ht="15" hidden="false" customHeight="false" outlineLevel="0" collapsed="false">
      <c r="A26" s="2" t="n">
        <v>725</v>
      </c>
      <c r="B26" s="2" t="n">
        <v>637</v>
      </c>
      <c r="C26" s="2" t="n">
        <v>207</v>
      </c>
      <c r="D26" s="2" t="n">
        <v>64</v>
      </c>
      <c r="E26" s="3" t="n">
        <v>46182</v>
      </c>
    </row>
    <row r="27" customFormat="false" ht="15" hidden="false" customHeight="false" outlineLevel="0" collapsed="false">
      <c r="A27" s="4" t="n">
        <v>726</v>
      </c>
      <c r="B27" s="4" t="n">
        <v>638</v>
      </c>
      <c r="C27" s="4" t="n">
        <v>206</v>
      </c>
      <c r="D27" s="4" t="n">
        <v>98</v>
      </c>
      <c r="E27" s="5" t="n">
        <v>46181</v>
      </c>
    </row>
    <row r="28" customFormat="false" ht="15" hidden="false" customHeight="false" outlineLevel="0" collapsed="false">
      <c r="A28" s="2" t="n">
        <v>727</v>
      </c>
      <c r="B28" s="2" t="n">
        <v>640</v>
      </c>
      <c r="C28" s="2" t="n">
        <v>208</v>
      </c>
      <c r="D28" s="2" t="n">
        <v>96</v>
      </c>
      <c r="E28" s="3" t="n">
        <v>46181</v>
      </c>
    </row>
    <row r="29" customFormat="false" ht="15" hidden="false" customHeight="false" outlineLevel="0" collapsed="false">
      <c r="A29" s="4" t="n">
        <v>728</v>
      </c>
      <c r="B29" s="4" t="n">
        <v>641</v>
      </c>
      <c r="C29" s="4" t="n">
        <v>216</v>
      </c>
      <c r="D29" s="4" t="n">
        <v>96</v>
      </c>
      <c r="E29" s="5" t="n">
        <v>46179</v>
      </c>
    </row>
    <row r="30" customFormat="false" ht="15" hidden="false" customHeight="false" outlineLevel="0" collapsed="false">
      <c r="A30" s="2" t="n">
        <v>729</v>
      </c>
      <c r="B30" s="2" t="n">
        <v>643</v>
      </c>
      <c r="C30" s="2" t="n">
        <v>207</v>
      </c>
      <c r="D30" s="2" t="n">
        <v>85</v>
      </c>
      <c r="E30" s="3" t="n">
        <v>46181</v>
      </c>
    </row>
    <row r="31" customFormat="false" ht="15" hidden="false" customHeight="false" outlineLevel="0" collapsed="false">
      <c r="A31" s="4" t="n">
        <v>730</v>
      </c>
      <c r="B31" s="4" t="n">
        <v>644</v>
      </c>
      <c r="C31" s="4" t="n">
        <v>208</v>
      </c>
      <c r="D31" s="4" t="n">
        <v>61</v>
      </c>
      <c r="E31" s="5" t="n">
        <v>46182</v>
      </c>
    </row>
    <row r="32" customFormat="false" ht="15" hidden="false" customHeight="false" outlineLevel="0" collapsed="false">
      <c r="A32" s="2" t="n">
        <v>731</v>
      </c>
      <c r="B32" s="2" t="n">
        <v>646</v>
      </c>
      <c r="C32" s="2" t="n">
        <v>201</v>
      </c>
      <c r="D32" s="2" t="n">
        <v>69</v>
      </c>
      <c r="E32" s="3" t="n">
        <v>46177</v>
      </c>
    </row>
    <row r="33" customFormat="false" ht="15" hidden="false" customHeight="false" outlineLevel="0" collapsed="false">
      <c r="A33" s="4" t="n">
        <v>732</v>
      </c>
      <c r="B33" s="4" t="n">
        <v>647</v>
      </c>
      <c r="C33" s="4" t="n">
        <v>203</v>
      </c>
      <c r="D33" s="4" t="n">
        <v>88</v>
      </c>
      <c r="E33" s="5" t="n">
        <v>46178</v>
      </c>
    </row>
    <row r="34" customFormat="false" ht="15" hidden="false" customHeight="false" outlineLevel="0" collapsed="false">
      <c r="A34" s="2" t="n">
        <v>733</v>
      </c>
      <c r="B34" s="2" t="n">
        <v>649</v>
      </c>
      <c r="C34" s="2" t="n">
        <v>203</v>
      </c>
      <c r="D34" s="2" t="n">
        <v>100</v>
      </c>
      <c r="E34" s="3" t="n">
        <v>46176</v>
      </c>
    </row>
    <row r="35" customFormat="false" ht="15" hidden="false" customHeight="false" outlineLevel="0" collapsed="false">
      <c r="A35" s="4" t="n">
        <v>734</v>
      </c>
      <c r="B35" s="4" t="n">
        <v>650</v>
      </c>
      <c r="C35" s="4" t="n">
        <v>211</v>
      </c>
      <c r="D35" s="4" t="n">
        <v>72</v>
      </c>
      <c r="E35" s="5" t="n">
        <v>46174</v>
      </c>
    </row>
    <row r="36" customFormat="false" ht="15" hidden="false" customHeight="false" outlineLevel="0" collapsed="false">
      <c r="A36" s="2" t="n">
        <v>735</v>
      </c>
      <c r="B36" s="2" t="n">
        <v>652</v>
      </c>
      <c r="C36" s="2" t="n">
        <v>204</v>
      </c>
      <c r="D36" s="2" t="n">
        <v>76</v>
      </c>
      <c r="E36" s="3" t="n">
        <v>46178</v>
      </c>
    </row>
    <row r="37" customFormat="false" ht="15" hidden="false" customHeight="false" outlineLevel="0" collapsed="false">
      <c r="A37" s="4" t="n">
        <v>736</v>
      </c>
      <c r="B37" s="4" t="n">
        <v>653</v>
      </c>
      <c r="C37" s="4" t="n">
        <v>206</v>
      </c>
      <c r="D37" s="4" t="n">
        <v>90</v>
      </c>
      <c r="E37" s="5" t="n">
        <v>46180</v>
      </c>
    </row>
    <row r="38" customFormat="false" ht="15" hidden="false" customHeight="false" outlineLevel="0" collapsed="false">
      <c r="A38" s="2" t="n">
        <v>737</v>
      </c>
      <c r="B38" s="2" t="n">
        <v>655</v>
      </c>
      <c r="C38" s="2" t="n">
        <v>203</v>
      </c>
      <c r="D38" s="2" t="n">
        <v>71</v>
      </c>
      <c r="E38" s="3" t="n">
        <v>46178</v>
      </c>
    </row>
    <row r="39" customFormat="false" ht="15" hidden="false" customHeight="false" outlineLevel="0" collapsed="false">
      <c r="A39" s="4" t="n">
        <v>738</v>
      </c>
      <c r="B39" s="4" t="n">
        <v>656</v>
      </c>
      <c r="C39" s="4" t="n">
        <v>206</v>
      </c>
      <c r="D39" s="4" t="n">
        <v>82</v>
      </c>
      <c r="E39" s="5" t="n">
        <v>46181</v>
      </c>
    </row>
    <row r="40" customFormat="false" ht="15" hidden="false" customHeight="false" outlineLevel="0" collapsed="false">
      <c r="A40" s="2" t="n">
        <v>739</v>
      </c>
      <c r="B40" s="2" t="n">
        <v>658</v>
      </c>
      <c r="C40" s="2" t="n">
        <v>204</v>
      </c>
      <c r="D40" s="2" t="n">
        <v>92</v>
      </c>
      <c r="E40" s="3" t="n">
        <v>46177</v>
      </c>
    </row>
    <row r="41" customFormat="false" ht="15" hidden="false" customHeight="false" outlineLevel="0" collapsed="false">
      <c r="A41" s="4" t="n">
        <v>740</v>
      </c>
      <c r="B41" s="4" t="n">
        <v>659</v>
      </c>
      <c r="C41" s="4" t="n">
        <v>212</v>
      </c>
      <c r="D41" s="4" t="n">
        <v>85</v>
      </c>
      <c r="E41" s="5" t="n">
        <v>46175</v>
      </c>
    </row>
    <row r="42" customFormat="false" ht="15" hidden="false" customHeight="false" outlineLevel="0" collapsed="false">
      <c r="A42" s="2" t="n">
        <v>741</v>
      </c>
      <c r="B42" s="2" t="n">
        <v>661</v>
      </c>
      <c r="C42" s="2" t="n">
        <v>204</v>
      </c>
      <c r="D42" s="2" t="n">
        <v>86</v>
      </c>
      <c r="E42" s="3" t="n">
        <v>46178</v>
      </c>
    </row>
    <row r="43" customFormat="false" ht="15" hidden="false" customHeight="false" outlineLevel="0" collapsed="false">
      <c r="A43" s="4" t="n">
        <v>742</v>
      </c>
      <c r="B43" s="4" t="n">
        <v>662</v>
      </c>
      <c r="C43" s="4" t="n">
        <v>208</v>
      </c>
      <c r="D43" s="4" t="n">
        <v>88</v>
      </c>
      <c r="E43" s="5" t="n">
        <v>46182</v>
      </c>
    </row>
    <row r="44" customFormat="false" ht="15" hidden="false" customHeight="false" outlineLevel="0" collapsed="false">
      <c r="A44" s="2" t="n">
        <v>743</v>
      </c>
      <c r="B44" s="2" t="n">
        <v>664</v>
      </c>
      <c r="C44" s="2" t="n">
        <v>204</v>
      </c>
      <c r="D44" s="2" t="n">
        <v>100</v>
      </c>
      <c r="E44" s="3" t="n">
        <v>46179</v>
      </c>
    </row>
    <row r="45" customFormat="false" ht="15" hidden="false" customHeight="false" outlineLevel="0" collapsed="false">
      <c r="A45" s="4" t="n">
        <v>744</v>
      </c>
      <c r="B45" s="4" t="n">
        <v>665</v>
      </c>
      <c r="C45" s="4" t="n">
        <v>212</v>
      </c>
      <c r="D45" s="4" t="n">
        <v>95</v>
      </c>
      <c r="E45" s="5" t="n">
        <v>46177</v>
      </c>
    </row>
    <row r="46" customFormat="false" ht="15" hidden="false" customHeight="false" outlineLevel="0" collapsed="false">
      <c r="A46" s="2" t="n">
        <v>745</v>
      </c>
      <c r="B46" s="2" t="n">
        <v>667</v>
      </c>
      <c r="C46" s="2" t="n">
        <v>205</v>
      </c>
      <c r="D46" s="2" t="n">
        <v>81</v>
      </c>
      <c r="E46" s="3" t="n">
        <v>46178</v>
      </c>
    </row>
    <row r="47" customFormat="false" ht="15" hidden="false" customHeight="false" outlineLevel="0" collapsed="false">
      <c r="A47" s="4" t="n">
        <v>746</v>
      </c>
      <c r="B47" s="4" t="n">
        <v>668</v>
      </c>
      <c r="C47" s="4" t="n">
        <v>206</v>
      </c>
      <c r="D47" s="4" t="n">
        <v>73</v>
      </c>
      <c r="E47" s="5" t="n">
        <v>46179</v>
      </c>
    </row>
    <row r="48" customFormat="false" ht="15" hidden="false" customHeight="false" outlineLevel="0" collapsed="false">
      <c r="A48" s="2" t="n">
        <v>747</v>
      </c>
      <c r="B48" s="2" t="n">
        <v>670</v>
      </c>
      <c r="C48" s="2" t="n">
        <v>204</v>
      </c>
      <c r="D48" s="2" t="n">
        <v>73</v>
      </c>
      <c r="E48" s="3" t="n">
        <v>46178</v>
      </c>
    </row>
    <row r="49" customFormat="false" ht="15" hidden="false" customHeight="false" outlineLevel="0" collapsed="false">
      <c r="A49" s="4" t="n">
        <v>748</v>
      </c>
      <c r="B49" s="4" t="n">
        <v>671</v>
      </c>
      <c r="C49" s="4" t="n">
        <v>208</v>
      </c>
      <c r="D49" s="4" t="n">
        <v>65</v>
      </c>
      <c r="E49" s="5" t="n">
        <v>46182</v>
      </c>
    </row>
    <row r="50" customFormat="false" ht="15" hidden="false" customHeight="false" outlineLevel="0" collapsed="false">
      <c r="A50" s="2" t="n">
        <v>749</v>
      </c>
      <c r="B50" s="2" t="n">
        <v>673</v>
      </c>
      <c r="C50" s="2" t="n">
        <v>212</v>
      </c>
      <c r="D50" s="2" t="n">
        <v>80</v>
      </c>
      <c r="E50" s="3" t="n">
        <v>46177</v>
      </c>
    </row>
    <row r="51" customFormat="false" ht="15" hidden="false" customHeight="false" outlineLevel="0" collapsed="false">
      <c r="A51" s="4" t="n">
        <v>750</v>
      </c>
      <c r="B51" s="4" t="n">
        <v>674</v>
      </c>
      <c r="C51" s="4" t="n">
        <v>204</v>
      </c>
      <c r="D51" s="4" t="n">
        <v>82</v>
      </c>
      <c r="E51" s="5" t="n">
        <v>46179</v>
      </c>
    </row>
    <row r="52" customFormat="false" ht="15" hidden="false" customHeight="false" outlineLevel="0" collapsed="false">
      <c r="A52" s="2" t="n">
        <v>751</v>
      </c>
      <c r="B52" s="2" t="n">
        <v>676</v>
      </c>
      <c r="C52" s="2" t="n">
        <v>208</v>
      </c>
      <c r="D52" s="2" t="n">
        <v>62</v>
      </c>
      <c r="E52" s="3" t="n">
        <v>46181</v>
      </c>
    </row>
    <row r="53" customFormat="false" ht="15" hidden="false" customHeight="false" outlineLevel="0" collapsed="false">
      <c r="A53" s="4" t="n">
        <v>752</v>
      </c>
      <c r="B53" s="4" t="n">
        <v>677</v>
      </c>
      <c r="C53" s="4" t="n">
        <v>216</v>
      </c>
      <c r="D53" s="4" t="n">
        <v>95</v>
      </c>
      <c r="E53" s="5" t="n">
        <v>46179</v>
      </c>
    </row>
    <row r="54" customFormat="false" ht="15" hidden="false" customHeight="false" outlineLevel="0" collapsed="false">
      <c r="A54" s="2" t="n">
        <v>753</v>
      </c>
      <c r="B54" s="2" t="n">
        <v>679</v>
      </c>
      <c r="C54" s="2" t="n">
        <v>205</v>
      </c>
      <c r="D54" s="2" t="n">
        <v>91</v>
      </c>
      <c r="E54" s="3" t="n">
        <v>46179</v>
      </c>
    </row>
    <row r="55" customFormat="false" ht="15" hidden="false" customHeight="false" outlineLevel="0" collapsed="false">
      <c r="A55" s="4" t="n">
        <v>754</v>
      </c>
      <c r="B55" s="4" t="n">
        <v>680</v>
      </c>
      <c r="C55" s="4" t="n">
        <v>206</v>
      </c>
      <c r="D55" s="4" t="n">
        <v>64</v>
      </c>
      <c r="E55" s="5" t="n">
        <v>46180</v>
      </c>
    </row>
    <row r="56" customFormat="false" ht="15" hidden="false" customHeight="false" outlineLevel="0" collapsed="false">
      <c r="A56" s="2" t="n">
        <v>755</v>
      </c>
      <c r="B56" s="2" t="n">
        <v>682</v>
      </c>
      <c r="C56" s="2" t="n">
        <v>207</v>
      </c>
      <c r="D56" s="2" t="n">
        <v>71</v>
      </c>
      <c r="E56" s="3" t="n">
        <v>46182</v>
      </c>
    </row>
    <row r="57" customFormat="false" ht="15" hidden="false" customHeight="false" outlineLevel="0" collapsed="false">
      <c r="A57" s="4" t="n">
        <v>756</v>
      </c>
      <c r="B57" s="4" t="n">
        <v>683</v>
      </c>
      <c r="C57" s="4" t="n">
        <v>206</v>
      </c>
      <c r="D57" s="4" t="n">
        <v>68</v>
      </c>
      <c r="E57" s="5" t="n">
        <v>46181</v>
      </c>
    </row>
    <row r="58" customFormat="false" ht="15" hidden="false" customHeight="false" outlineLevel="0" collapsed="false">
      <c r="A58" s="2" t="n">
        <v>757</v>
      </c>
      <c r="B58" s="2" t="n">
        <v>685</v>
      </c>
      <c r="C58" s="2" t="n">
        <v>208</v>
      </c>
      <c r="D58" s="2" t="n">
        <v>93</v>
      </c>
      <c r="E58" s="3" t="n">
        <v>46181</v>
      </c>
    </row>
    <row r="59" customFormat="false" ht="15" hidden="false" customHeight="false" outlineLevel="0" collapsed="false">
      <c r="A59" s="4" t="n">
        <v>758</v>
      </c>
      <c r="B59" s="4" t="n">
        <v>686</v>
      </c>
      <c r="C59" s="4" t="n">
        <v>216</v>
      </c>
      <c r="D59" s="4" t="n">
        <v>91</v>
      </c>
      <c r="E59" s="5" t="n">
        <v>46179</v>
      </c>
    </row>
    <row r="60" customFormat="false" ht="15" hidden="false" customHeight="false" outlineLevel="0" collapsed="false">
      <c r="A60" s="2" t="n">
        <v>759</v>
      </c>
      <c r="B60" s="2" t="n">
        <v>688</v>
      </c>
      <c r="C60" s="2" t="n">
        <v>207</v>
      </c>
      <c r="D60" s="2" t="n">
        <v>74</v>
      </c>
      <c r="E60" s="3" t="n">
        <v>46181</v>
      </c>
    </row>
    <row r="61" customFormat="false" ht="15" hidden="false" customHeight="false" outlineLevel="0" collapsed="false">
      <c r="A61" s="4" t="n">
        <v>760</v>
      </c>
      <c r="B61" s="4" t="n">
        <v>689</v>
      </c>
      <c r="C61" s="4" t="n">
        <v>208</v>
      </c>
      <c r="D61" s="4" t="n">
        <v>95</v>
      </c>
      <c r="E61" s="5" t="n">
        <v>46182</v>
      </c>
    </row>
    <row r="62" customFormat="false" ht="15" hidden="false" customHeight="false" outlineLevel="0" collapsed="false">
      <c r="A62" s="2" t="n">
        <v>761</v>
      </c>
      <c r="B62" s="2" t="n">
        <v>603</v>
      </c>
      <c r="C62" s="2" t="n">
        <v>209</v>
      </c>
      <c r="D62" s="2" t="n">
        <v>95</v>
      </c>
      <c r="E62" s="3" t="n">
        <v>46305</v>
      </c>
    </row>
    <row r="63" customFormat="false" ht="15" hidden="false" customHeight="false" outlineLevel="0" collapsed="false">
      <c r="A63" s="4" t="n">
        <v>762</v>
      </c>
      <c r="B63" s="4" t="n">
        <v>606</v>
      </c>
      <c r="C63" s="4" t="n">
        <v>201</v>
      </c>
      <c r="D63" s="4" t="n">
        <v>65</v>
      </c>
      <c r="E63" s="5" t="n">
        <v>46300</v>
      </c>
    </row>
    <row r="64" customFormat="false" ht="15" hidden="false" customHeight="false" outlineLevel="0" collapsed="false">
      <c r="A64" s="2" t="n">
        <v>763</v>
      </c>
      <c r="B64" s="2" t="n">
        <v>609</v>
      </c>
      <c r="C64" s="2" t="n">
        <v>203</v>
      </c>
      <c r="D64" s="2" t="n">
        <v>88</v>
      </c>
      <c r="E64" s="3" t="n">
        <v>46301</v>
      </c>
    </row>
    <row r="65" customFormat="false" ht="15" hidden="false" customHeight="false" outlineLevel="0" collapsed="false">
      <c r="A65" s="4" t="n">
        <v>764</v>
      </c>
      <c r="B65" s="4" t="n">
        <v>612</v>
      </c>
      <c r="C65" s="4" t="n">
        <v>210</v>
      </c>
      <c r="D65" s="4" t="n">
        <v>87</v>
      </c>
      <c r="E65" s="5" t="n">
        <v>46302</v>
      </c>
    </row>
    <row r="66" customFormat="false" ht="15" hidden="false" customHeight="false" outlineLevel="0" collapsed="false">
      <c r="A66" s="2" t="n">
        <v>765</v>
      </c>
      <c r="B66" s="2" t="n">
        <v>615</v>
      </c>
      <c r="C66" s="2" t="n">
        <v>203</v>
      </c>
      <c r="D66" s="2" t="n">
        <v>90</v>
      </c>
      <c r="E66" s="3" t="n">
        <v>46303</v>
      </c>
    </row>
    <row r="67" customFormat="false" ht="15" hidden="false" customHeight="false" outlineLevel="0" collapsed="false">
      <c r="A67" s="4" t="n">
        <v>766</v>
      </c>
      <c r="B67" s="4" t="n">
        <v>618</v>
      </c>
      <c r="C67" s="4" t="n">
        <v>211</v>
      </c>
      <c r="D67" s="4" t="n">
        <v>71</v>
      </c>
      <c r="E67" s="5" t="n">
        <v>46304</v>
      </c>
    </row>
    <row r="68" customFormat="false" ht="15" hidden="false" customHeight="false" outlineLevel="0" collapsed="false">
      <c r="A68" s="2" t="n">
        <v>767</v>
      </c>
      <c r="B68" s="2" t="n">
        <v>621</v>
      </c>
      <c r="C68" s="2" t="n">
        <v>211</v>
      </c>
      <c r="D68" s="2" t="n">
        <v>74</v>
      </c>
      <c r="E68" s="3" t="n">
        <v>46305</v>
      </c>
    </row>
    <row r="69" customFormat="false" ht="15" hidden="false" customHeight="false" outlineLevel="0" collapsed="false">
      <c r="A69" s="4" t="n">
        <v>768</v>
      </c>
      <c r="B69" s="4" t="n">
        <v>624</v>
      </c>
      <c r="C69" s="4" t="n">
        <v>214</v>
      </c>
      <c r="D69" s="4" t="n">
        <v>97</v>
      </c>
      <c r="E69" s="5" t="n">
        <v>46300</v>
      </c>
    </row>
    <row r="70" customFormat="false" ht="15" hidden="false" customHeight="false" outlineLevel="0" collapsed="false">
      <c r="A70" s="2" t="n">
        <v>769</v>
      </c>
      <c r="B70" s="2" t="n">
        <v>627</v>
      </c>
      <c r="C70" s="2" t="n">
        <v>205</v>
      </c>
      <c r="D70" s="2" t="n">
        <v>79</v>
      </c>
      <c r="E70" s="3" t="n">
        <v>46301</v>
      </c>
    </row>
    <row r="71" customFormat="false" ht="15" hidden="false" customHeight="false" outlineLevel="0" collapsed="false">
      <c r="A71" s="4" t="n">
        <v>770</v>
      </c>
      <c r="B71" s="4" t="n">
        <v>630</v>
      </c>
      <c r="C71" s="4" t="n">
        <v>213</v>
      </c>
      <c r="D71" s="4" t="n">
        <v>94</v>
      </c>
      <c r="E71" s="5" t="n">
        <v>46302</v>
      </c>
    </row>
    <row r="72" customFormat="false" ht="15" hidden="false" customHeight="false" outlineLevel="0" collapsed="false">
      <c r="A72" s="2" t="n">
        <v>771</v>
      </c>
      <c r="B72" s="2" t="n">
        <v>633</v>
      </c>
      <c r="C72" s="2" t="n">
        <v>212</v>
      </c>
      <c r="D72" s="2" t="n">
        <v>68</v>
      </c>
      <c r="E72" s="3" t="n">
        <v>46303</v>
      </c>
    </row>
    <row r="73" customFormat="false" ht="15" hidden="false" customHeight="false" outlineLevel="0" collapsed="false">
      <c r="A73" s="4" t="n">
        <v>772</v>
      </c>
      <c r="B73" s="4" t="n">
        <v>636</v>
      </c>
      <c r="C73" s="4" t="n">
        <v>214</v>
      </c>
      <c r="D73" s="4" t="n">
        <v>74</v>
      </c>
      <c r="E73" s="5" t="n">
        <v>46304</v>
      </c>
    </row>
    <row r="74" customFormat="false" ht="15" hidden="false" customHeight="false" outlineLevel="0" collapsed="false">
      <c r="A74" s="2" t="n">
        <v>773</v>
      </c>
      <c r="B74" s="2" t="n">
        <v>639</v>
      </c>
      <c r="C74" s="2" t="n">
        <v>215</v>
      </c>
      <c r="D74" s="2" t="n">
        <v>64</v>
      </c>
      <c r="E74" s="3" t="n">
        <v>46305</v>
      </c>
    </row>
    <row r="75" customFormat="false" ht="15" hidden="false" customHeight="false" outlineLevel="0" collapsed="false">
      <c r="A75" s="4" t="n">
        <v>774</v>
      </c>
      <c r="B75" s="4" t="n">
        <v>642</v>
      </c>
      <c r="C75" s="4" t="n">
        <v>217</v>
      </c>
      <c r="D75" s="4" t="n">
        <v>89</v>
      </c>
      <c r="E75" s="5" t="n">
        <v>46300</v>
      </c>
    </row>
    <row r="76" customFormat="false" ht="15" hidden="false" customHeight="false" outlineLevel="0" collapsed="false">
      <c r="A76" s="2" t="n">
        <v>775</v>
      </c>
      <c r="B76" s="2" t="n">
        <v>645</v>
      </c>
      <c r="C76" s="2" t="n">
        <v>206</v>
      </c>
      <c r="D76" s="2" t="n">
        <v>88</v>
      </c>
      <c r="E76" s="3" t="n">
        <v>46301</v>
      </c>
    </row>
  </sheetData>
  <autoFilter ref="A1:E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318</v>
      </c>
      <c r="B1" s="1" t="s">
        <v>319</v>
      </c>
      <c r="C1" s="1" t="s">
        <v>320</v>
      </c>
      <c r="D1" s="1" t="s">
        <v>321</v>
      </c>
    </row>
    <row r="2" customFormat="false" ht="15" hidden="false" customHeight="false" outlineLevel="0" collapsed="false">
      <c r="A2" s="8" t="s">
        <v>322</v>
      </c>
      <c r="B2" s="4" t="s">
        <v>0</v>
      </c>
      <c r="C2" s="4" t="s">
        <v>323</v>
      </c>
      <c r="D2" s="4" t="s">
        <v>324</v>
      </c>
    </row>
    <row r="3" customFormat="false" ht="15" hidden="false" customHeight="false" outlineLevel="0" collapsed="false">
      <c r="A3" s="8" t="s">
        <v>322</v>
      </c>
      <c r="B3" s="4" t="s">
        <v>1</v>
      </c>
      <c r="C3" s="4" t="s">
        <v>325</v>
      </c>
      <c r="D3" s="4"/>
    </row>
    <row r="4" customFormat="false" ht="15" hidden="false" customHeight="false" outlineLevel="0" collapsed="false">
      <c r="A4" s="8" t="s">
        <v>322</v>
      </c>
      <c r="B4" s="4" t="s">
        <v>2</v>
      </c>
      <c r="C4" s="4" t="s">
        <v>325</v>
      </c>
      <c r="D4" s="4"/>
    </row>
    <row r="5" customFormat="false" ht="15" hidden="false" customHeight="false" outlineLevel="0" collapsed="false">
      <c r="A5" s="8" t="s">
        <v>322</v>
      </c>
      <c r="B5" s="4" t="s">
        <v>3</v>
      </c>
      <c r="C5" s="4" t="s">
        <v>326</v>
      </c>
      <c r="D5" s="4"/>
    </row>
    <row r="6" customFormat="false" ht="15" hidden="false" customHeight="false" outlineLevel="0" collapsed="false">
      <c r="A6" s="8" t="s">
        <v>322</v>
      </c>
      <c r="B6" s="4" t="s">
        <v>4</v>
      </c>
      <c r="C6" s="4" t="s">
        <v>325</v>
      </c>
      <c r="D6" s="4" t="s">
        <v>327</v>
      </c>
    </row>
    <row r="7" customFormat="false" ht="15" hidden="false" customHeight="false" outlineLevel="0" collapsed="false">
      <c r="A7" s="8" t="s">
        <v>322</v>
      </c>
      <c r="B7" s="4" t="s">
        <v>5</v>
      </c>
      <c r="C7" s="4" t="s">
        <v>325</v>
      </c>
      <c r="D7" s="4"/>
    </row>
    <row r="8" customFormat="false" ht="15" hidden="false" customHeight="false" outlineLevel="0" collapsed="false">
      <c r="A8" s="8" t="s">
        <v>322</v>
      </c>
      <c r="B8" s="4" t="s">
        <v>6</v>
      </c>
      <c r="C8" s="4" t="s">
        <v>323</v>
      </c>
      <c r="D8" s="4" t="s">
        <v>328</v>
      </c>
    </row>
    <row r="9" customFormat="false" ht="15" hidden="false" customHeight="false" outlineLevel="0" collapsed="false">
      <c r="A9" s="8" t="s">
        <v>329</v>
      </c>
      <c r="B9" s="4" t="s">
        <v>6</v>
      </c>
      <c r="C9" s="4" t="s">
        <v>323</v>
      </c>
      <c r="D9" s="4" t="s">
        <v>324</v>
      </c>
    </row>
    <row r="10" customFormat="false" ht="15" hidden="false" customHeight="false" outlineLevel="0" collapsed="false">
      <c r="A10" s="8" t="s">
        <v>329</v>
      </c>
      <c r="B10" s="4" t="s">
        <v>127</v>
      </c>
      <c r="C10" s="4" t="s">
        <v>325</v>
      </c>
      <c r="D10" s="4"/>
    </row>
    <row r="11" customFormat="false" ht="15" hidden="false" customHeight="false" outlineLevel="0" collapsed="false">
      <c r="A11" s="8" t="s">
        <v>329</v>
      </c>
      <c r="B11" s="4" t="s">
        <v>128</v>
      </c>
      <c r="C11" s="4" t="s">
        <v>323</v>
      </c>
      <c r="D11" s="4"/>
    </row>
    <row r="12" customFormat="false" ht="15" hidden="false" customHeight="false" outlineLevel="0" collapsed="false">
      <c r="A12" s="8" t="s">
        <v>329</v>
      </c>
      <c r="B12" s="4" t="s">
        <v>129</v>
      </c>
      <c r="C12" s="4" t="s">
        <v>323</v>
      </c>
      <c r="D12" s="4" t="s">
        <v>330</v>
      </c>
    </row>
    <row r="13" customFormat="false" ht="15" hidden="false" customHeight="false" outlineLevel="0" collapsed="false">
      <c r="A13" s="8" t="s">
        <v>331</v>
      </c>
      <c r="B13" s="4" t="s">
        <v>145</v>
      </c>
      <c r="C13" s="4" t="s">
        <v>323</v>
      </c>
      <c r="D13" s="4" t="s">
        <v>324</v>
      </c>
    </row>
    <row r="14" customFormat="false" ht="15" hidden="false" customHeight="false" outlineLevel="0" collapsed="false">
      <c r="A14" s="8" t="s">
        <v>331</v>
      </c>
      <c r="B14" s="4" t="s">
        <v>1</v>
      </c>
      <c r="C14" s="4" t="s">
        <v>325</v>
      </c>
      <c r="D14" s="4"/>
    </row>
    <row r="15" customFormat="false" ht="15" hidden="false" customHeight="false" outlineLevel="0" collapsed="false">
      <c r="A15" s="8" t="s">
        <v>331</v>
      </c>
      <c r="B15" s="4" t="s">
        <v>2</v>
      </c>
      <c r="C15" s="4" t="s">
        <v>325</v>
      </c>
      <c r="D15" s="4"/>
    </row>
    <row r="16" customFormat="false" ht="15" hidden="false" customHeight="false" outlineLevel="0" collapsed="false">
      <c r="A16" s="8" t="s">
        <v>331</v>
      </c>
      <c r="B16" s="4" t="s">
        <v>4</v>
      </c>
      <c r="C16" s="4" t="s">
        <v>325</v>
      </c>
      <c r="D16" s="4" t="s">
        <v>327</v>
      </c>
    </row>
    <row r="17" customFormat="false" ht="15" hidden="false" customHeight="false" outlineLevel="0" collapsed="false">
      <c r="A17" s="8" t="s">
        <v>331</v>
      </c>
      <c r="B17" s="4" t="s">
        <v>5</v>
      </c>
      <c r="C17" s="4" t="s">
        <v>325</v>
      </c>
      <c r="D17" s="4"/>
    </row>
    <row r="18" customFormat="false" ht="15" hidden="false" customHeight="false" outlineLevel="0" collapsed="false">
      <c r="A18" s="8" t="s">
        <v>331</v>
      </c>
      <c r="B18" s="4" t="s">
        <v>129</v>
      </c>
      <c r="C18" s="4" t="s">
        <v>323</v>
      </c>
      <c r="D18" s="4" t="s">
        <v>330</v>
      </c>
    </row>
    <row r="19" customFormat="false" ht="15" hidden="false" customHeight="false" outlineLevel="0" collapsed="false">
      <c r="A19" s="8" t="s">
        <v>332</v>
      </c>
      <c r="B19" s="4" t="s">
        <v>129</v>
      </c>
      <c r="C19" s="4" t="s">
        <v>323</v>
      </c>
      <c r="D19" s="4" t="s">
        <v>324</v>
      </c>
    </row>
    <row r="20" customFormat="false" ht="15" hidden="false" customHeight="false" outlineLevel="0" collapsed="false">
      <c r="A20" s="8" t="s">
        <v>332</v>
      </c>
      <c r="B20" s="4" t="s">
        <v>214</v>
      </c>
      <c r="C20" s="4" t="s">
        <v>325</v>
      </c>
      <c r="D20" s="4"/>
    </row>
    <row r="21" customFormat="false" ht="15" hidden="false" customHeight="false" outlineLevel="0" collapsed="false">
      <c r="A21" s="8" t="s">
        <v>332</v>
      </c>
      <c r="B21" s="4" t="s">
        <v>215</v>
      </c>
      <c r="C21" s="4" t="s">
        <v>325</v>
      </c>
      <c r="D21" s="4"/>
    </row>
    <row r="22" customFormat="false" ht="15" hidden="false" customHeight="false" outlineLevel="0" collapsed="false">
      <c r="A22" s="8" t="s">
        <v>332</v>
      </c>
      <c r="B22" s="4" t="s">
        <v>5</v>
      </c>
      <c r="C22" s="4" t="s">
        <v>325</v>
      </c>
      <c r="D22" s="4"/>
    </row>
    <row r="23" customFormat="false" ht="15" hidden="false" customHeight="false" outlineLevel="0" collapsed="false">
      <c r="A23" s="8" t="s">
        <v>333</v>
      </c>
      <c r="B23" s="4" t="s">
        <v>261</v>
      </c>
      <c r="C23" s="4" t="s">
        <v>323</v>
      </c>
      <c r="D23" s="4" t="s">
        <v>324</v>
      </c>
    </row>
    <row r="24" customFormat="false" ht="15" hidden="false" customHeight="false" outlineLevel="0" collapsed="false">
      <c r="A24" s="8" t="s">
        <v>333</v>
      </c>
      <c r="B24" s="4" t="s">
        <v>262</v>
      </c>
      <c r="C24" s="4" t="s">
        <v>325</v>
      </c>
      <c r="D24" s="4"/>
    </row>
    <row r="25" customFormat="false" ht="15" hidden="false" customHeight="false" outlineLevel="0" collapsed="false">
      <c r="A25" s="8" t="s">
        <v>333</v>
      </c>
      <c r="B25" s="4" t="s">
        <v>263</v>
      </c>
      <c r="C25" s="4" t="s">
        <v>323</v>
      </c>
      <c r="D25" s="4" t="s">
        <v>334</v>
      </c>
    </row>
    <row r="26" customFormat="false" ht="15" hidden="false" customHeight="false" outlineLevel="0" collapsed="false">
      <c r="A26" s="8" t="s">
        <v>333</v>
      </c>
      <c r="B26" s="4" t="s">
        <v>129</v>
      </c>
      <c r="C26" s="4" t="s">
        <v>323</v>
      </c>
      <c r="D26" s="4" t="s">
        <v>330</v>
      </c>
    </row>
    <row r="27" customFormat="false" ht="15" hidden="false" customHeight="false" outlineLevel="0" collapsed="false">
      <c r="A27" s="8" t="s">
        <v>335</v>
      </c>
      <c r="B27" s="4" t="s">
        <v>278</v>
      </c>
      <c r="C27" s="4" t="s">
        <v>323</v>
      </c>
      <c r="D27" s="4" t="s">
        <v>324</v>
      </c>
    </row>
    <row r="28" customFormat="false" ht="15" hidden="false" customHeight="false" outlineLevel="0" collapsed="false">
      <c r="A28" s="8" t="s">
        <v>335</v>
      </c>
      <c r="B28" s="4" t="s">
        <v>279</v>
      </c>
      <c r="C28" s="4" t="s">
        <v>325</v>
      </c>
      <c r="D28" s="4"/>
    </row>
    <row r="29" customFormat="false" ht="15" hidden="false" customHeight="false" outlineLevel="0" collapsed="false">
      <c r="A29" s="8" t="s">
        <v>335</v>
      </c>
      <c r="B29" s="4" t="s">
        <v>280</v>
      </c>
      <c r="C29" s="4" t="s">
        <v>325</v>
      </c>
      <c r="D29" s="4"/>
    </row>
    <row r="30" customFormat="false" ht="15" hidden="false" customHeight="false" outlineLevel="0" collapsed="false">
      <c r="A30" s="8" t="s">
        <v>335</v>
      </c>
      <c r="B30" s="4" t="s">
        <v>281</v>
      </c>
      <c r="C30" s="4" t="s">
        <v>323</v>
      </c>
      <c r="D30" s="4" t="s">
        <v>334</v>
      </c>
    </row>
    <row r="31" customFormat="false" ht="15" hidden="false" customHeight="false" outlineLevel="0" collapsed="false">
      <c r="A31" s="8" t="s">
        <v>336</v>
      </c>
      <c r="B31" s="4" t="s">
        <v>302</v>
      </c>
      <c r="C31" s="4" t="s">
        <v>323</v>
      </c>
      <c r="D31" s="4" t="s">
        <v>324</v>
      </c>
    </row>
    <row r="32" customFormat="false" ht="15" hidden="false" customHeight="false" outlineLevel="0" collapsed="false">
      <c r="A32" s="8" t="s">
        <v>336</v>
      </c>
      <c r="B32" s="4" t="s">
        <v>261</v>
      </c>
      <c r="C32" s="4" t="s">
        <v>323</v>
      </c>
      <c r="D32" s="4" t="s">
        <v>337</v>
      </c>
    </row>
    <row r="33" customFormat="false" ht="15" hidden="false" customHeight="false" outlineLevel="0" collapsed="false">
      <c r="A33" s="8" t="s">
        <v>336</v>
      </c>
      <c r="B33" s="4" t="s">
        <v>145</v>
      </c>
      <c r="C33" s="4" t="s">
        <v>323</v>
      </c>
      <c r="D33" s="4" t="s">
        <v>338</v>
      </c>
    </row>
    <row r="34" customFormat="false" ht="15" hidden="false" customHeight="false" outlineLevel="0" collapsed="false">
      <c r="A34" s="8" t="s">
        <v>336</v>
      </c>
      <c r="B34" s="4" t="s">
        <v>6</v>
      </c>
      <c r="C34" s="4" t="s">
        <v>323</v>
      </c>
      <c r="D34" s="4" t="s">
        <v>328</v>
      </c>
    </row>
    <row r="35" customFormat="false" ht="15" hidden="false" customHeight="false" outlineLevel="0" collapsed="false">
      <c r="A35" s="8" t="s">
        <v>336</v>
      </c>
      <c r="B35" s="4" t="s">
        <v>278</v>
      </c>
      <c r="C35" s="4" t="s">
        <v>323</v>
      </c>
      <c r="D35" s="4" t="s">
        <v>339</v>
      </c>
    </row>
    <row r="36" customFormat="false" ht="15" hidden="false" customHeight="false" outlineLevel="0" collapsed="false">
      <c r="A36" s="8" t="s">
        <v>336</v>
      </c>
      <c r="B36" s="4" t="s">
        <v>303</v>
      </c>
      <c r="C36" s="4" t="s">
        <v>326</v>
      </c>
      <c r="D36" s="4"/>
    </row>
    <row r="37" customFormat="false" ht="15" hidden="false" customHeight="false" outlineLevel="0" collapsed="false">
      <c r="A37" s="8" t="s">
        <v>336</v>
      </c>
      <c r="B37" s="4" t="s">
        <v>304</v>
      </c>
      <c r="C37" s="4" t="s">
        <v>340</v>
      </c>
      <c r="D37" s="4" t="s">
        <v>341</v>
      </c>
    </row>
    <row r="38" customFormat="false" ht="15" hidden="false" customHeight="false" outlineLevel="0" collapsed="false">
      <c r="A38" s="8" t="s">
        <v>336</v>
      </c>
      <c r="B38" s="4" t="s">
        <v>305</v>
      </c>
      <c r="C38" s="4" t="s">
        <v>340</v>
      </c>
      <c r="D38" s="4" t="s">
        <v>342</v>
      </c>
    </row>
    <row r="39" customFormat="false" ht="15" hidden="false" customHeight="false" outlineLevel="0" collapsed="false">
      <c r="A39" s="8" t="s">
        <v>343</v>
      </c>
      <c r="B39" s="4" t="s">
        <v>306</v>
      </c>
      <c r="C39" s="4" t="s">
        <v>323</v>
      </c>
      <c r="D39" s="4" t="s">
        <v>324</v>
      </c>
    </row>
    <row r="40" customFormat="false" ht="15" hidden="false" customHeight="false" outlineLevel="0" collapsed="false">
      <c r="A40" s="8" t="s">
        <v>343</v>
      </c>
      <c r="B40" s="4" t="s">
        <v>0</v>
      </c>
      <c r="C40" s="4" t="s">
        <v>323</v>
      </c>
      <c r="D40" s="4" t="s">
        <v>344</v>
      </c>
    </row>
    <row r="41" customFormat="false" ht="15" hidden="false" customHeight="false" outlineLevel="0" collapsed="false">
      <c r="A41" s="8" t="s">
        <v>343</v>
      </c>
      <c r="B41" s="4" t="s">
        <v>261</v>
      </c>
      <c r="C41" s="4" t="s">
        <v>323</v>
      </c>
      <c r="D41" s="4" t="s">
        <v>337</v>
      </c>
    </row>
    <row r="42" customFormat="false" ht="15" hidden="false" customHeight="false" outlineLevel="0" collapsed="false">
      <c r="A42" s="8" t="s">
        <v>343</v>
      </c>
      <c r="B42" s="4" t="s">
        <v>307</v>
      </c>
      <c r="C42" s="4" t="s">
        <v>323</v>
      </c>
      <c r="D42" s="4" t="s">
        <v>334</v>
      </c>
    </row>
    <row r="43" customFormat="false" ht="15" hidden="false" customHeight="false" outlineLevel="0" collapsed="false">
      <c r="A43" s="8" t="s">
        <v>343</v>
      </c>
      <c r="B43" s="4" t="s">
        <v>308</v>
      </c>
      <c r="C43" s="4" t="s">
        <v>325</v>
      </c>
      <c r="D43" s="4"/>
    </row>
    <row r="44" customFormat="false" ht="15" hidden="false" customHeight="false" outlineLevel="0" collapsed="false">
      <c r="A44" s="8" t="s">
        <v>343</v>
      </c>
      <c r="B44" s="4" t="s">
        <v>309</v>
      </c>
      <c r="C44" s="4" t="s">
        <v>325</v>
      </c>
      <c r="D44" s="4" t="s">
        <v>345</v>
      </c>
    </row>
    <row r="45" customFormat="false" ht="15" hidden="false" customHeight="false" outlineLevel="0" collapsed="false">
      <c r="A45" s="8" t="s">
        <v>346</v>
      </c>
      <c r="B45" s="4" t="s">
        <v>315</v>
      </c>
      <c r="C45" s="4" t="s">
        <v>323</v>
      </c>
      <c r="D45" s="4" t="s">
        <v>324</v>
      </c>
    </row>
    <row r="46" customFormat="false" ht="15" hidden="false" customHeight="false" outlineLevel="0" collapsed="false">
      <c r="A46" s="8" t="s">
        <v>346</v>
      </c>
      <c r="B46" s="4" t="s">
        <v>306</v>
      </c>
      <c r="C46" s="4" t="s">
        <v>323</v>
      </c>
      <c r="D46" s="4" t="s">
        <v>347</v>
      </c>
    </row>
    <row r="47" customFormat="false" ht="15" hidden="false" customHeight="false" outlineLevel="0" collapsed="false">
      <c r="A47" s="8" t="s">
        <v>346</v>
      </c>
      <c r="B47" s="4" t="s">
        <v>145</v>
      </c>
      <c r="C47" s="4" t="s">
        <v>323</v>
      </c>
      <c r="D47" s="4" t="s">
        <v>338</v>
      </c>
    </row>
    <row r="48" customFormat="false" ht="15" hidden="false" customHeight="false" outlineLevel="0" collapsed="false">
      <c r="A48" s="8" t="s">
        <v>346</v>
      </c>
      <c r="B48" s="4" t="s">
        <v>316</v>
      </c>
      <c r="C48" s="4" t="s">
        <v>323</v>
      </c>
      <c r="D48" s="4" t="s">
        <v>348</v>
      </c>
    </row>
    <row r="49" customFormat="false" ht="15" hidden="false" customHeight="false" outlineLevel="0" collapsed="false">
      <c r="A49" s="8" t="s">
        <v>346</v>
      </c>
      <c r="B49" s="4" t="s">
        <v>317</v>
      </c>
      <c r="C49" s="4" t="s">
        <v>326</v>
      </c>
      <c r="D49" s="4"/>
    </row>
    <row r="51" customFormat="false" ht="15" hidden="false" customHeight="false" outlineLevel="0" collapsed="false">
      <c r="A51" s="9" t="s">
        <v>349</v>
      </c>
    </row>
    <row r="52" customFormat="false" ht="15" hidden="false" customHeight="false" outlineLevel="0" collapsed="false">
      <c r="A52" s="9" t="s">
        <v>350</v>
      </c>
    </row>
    <row r="53" customFormat="false" ht="15" hidden="false" customHeight="false" outlineLevel="0" collapsed="false">
      <c r="A53" s="9" t="s">
        <v>351</v>
      </c>
    </row>
    <row r="54" customFormat="false" ht="15" hidden="false" customHeight="false" outlineLevel="0" collapsed="false">
      <c r="A54" s="9" t="s">
        <v>352</v>
      </c>
    </row>
    <row r="55" customFormat="false" ht="15" hidden="false" customHeight="false" outlineLevel="0" collapsed="false">
      <c r="A55" s="9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37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0" t="s">
        <v>354</v>
      </c>
    </row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127</v>
      </c>
    </row>
    <row r="4" customFormat="false" ht="15" hidden="false" customHeight="false" outlineLevel="0" collapsed="false">
      <c r="A4" s="4" t="n">
        <v>1003</v>
      </c>
      <c r="B4" s="4" t="s">
        <v>15</v>
      </c>
      <c r="C4" s="4" t="s">
        <v>16</v>
      </c>
      <c r="D4" s="5" t="n">
        <v>38832</v>
      </c>
      <c r="E4" s="4" t="s">
        <v>17</v>
      </c>
      <c r="F4" s="4" t="s">
        <v>18</v>
      </c>
      <c r="G4" s="4" t="n">
        <v>23</v>
      </c>
      <c r="H4" s="4" t="str">
        <f aca="false">INDEX(Groups!$B:$B,MATCH(G4,Groups!$A:$A,0))</f>
        <v>IS-25</v>
      </c>
    </row>
    <row r="5" customFormat="false" ht="15" hidden="false" customHeight="false" outlineLevel="0" collapsed="false">
      <c r="A5" s="4" t="n">
        <v>1020</v>
      </c>
      <c r="B5" s="4" t="s">
        <v>83</v>
      </c>
      <c r="C5" s="4" t="s">
        <v>84</v>
      </c>
      <c r="D5" s="5" t="n">
        <v>38355</v>
      </c>
      <c r="E5" s="4" t="s">
        <v>85</v>
      </c>
      <c r="F5" s="4" t="s">
        <v>86</v>
      </c>
      <c r="G5" s="4" t="n">
        <v>25</v>
      </c>
      <c r="H5" s="4" t="str">
        <f aca="false">INDEX(Groups!$B:$B,MATCH(G5,Groups!$A:$A,0))</f>
        <v>CE-24</v>
      </c>
    </row>
    <row r="6" customFormat="false" ht="15" hidden="false" customHeight="false" outlineLevel="0" collapsed="false">
      <c r="A6" s="4" t="n">
        <v>1011</v>
      </c>
      <c r="B6" s="4" t="s">
        <v>47</v>
      </c>
      <c r="C6" s="4" t="s">
        <v>48</v>
      </c>
      <c r="D6" s="5" t="n">
        <v>39116</v>
      </c>
      <c r="E6" s="4" t="s">
        <v>49</v>
      </c>
      <c r="F6" s="4" t="s">
        <v>50</v>
      </c>
      <c r="G6" s="4" t="n">
        <v>31</v>
      </c>
      <c r="H6" s="4" t="str">
        <f aca="false">INDEX(Groups!$B:$B,MATCH(G6,Groups!$A:$A,0))</f>
        <v>PE-25</v>
      </c>
    </row>
    <row r="7" customFormat="false" ht="15" hidden="false" customHeight="false" outlineLevel="0" collapsed="false">
      <c r="A7" s="4" t="n">
        <v>1016</v>
      </c>
      <c r="B7" s="4" t="s">
        <v>67</v>
      </c>
      <c r="C7" s="4" t="s">
        <v>68</v>
      </c>
      <c r="D7" s="5" t="n">
        <v>38031</v>
      </c>
      <c r="E7" s="4" t="s">
        <v>69</v>
      </c>
      <c r="F7" s="4" t="s">
        <v>70</v>
      </c>
      <c r="G7" s="4" t="n">
        <v>21</v>
      </c>
      <c r="H7" s="4" t="str">
        <f aca="false">INDEX(Groups!$B:$B,MATCH(G7,Groups!$A:$A,0))</f>
        <v>IS-23</v>
      </c>
    </row>
    <row r="8" customFormat="false" ht="15" hidden="false" customHeight="false" outlineLevel="0" collapsed="false">
      <c r="A8" s="4" t="n">
        <v>1007</v>
      </c>
      <c r="B8" s="4" t="s">
        <v>31</v>
      </c>
      <c r="C8" s="4" t="s">
        <v>32</v>
      </c>
      <c r="D8" s="5" t="n">
        <v>38537</v>
      </c>
      <c r="E8" s="4" t="s">
        <v>33</v>
      </c>
      <c r="F8" s="4" t="s">
        <v>34</v>
      </c>
      <c r="G8" s="4" t="n">
        <v>27</v>
      </c>
      <c r="H8" s="4" t="str">
        <f aca="false">INDEX(Groups!$B:$B,MATCH(G8,Groups!$A:$A,0))</f>
        <v>MATH-24</v>
      </c>
    </row>
    <row r="9" customFormat="false" ht="15" hidden="false" customHeight="false" outlineLevel="0" collapsed="false">
      <c r="A9" s="4" t="n">
        <v>1013</v>
      </c>
      <c r="B9" s="4" t="s">
        <v>55</v>
      </c>
      <c r="C9" s="4" t="s">
        <v>56</v>
      </c>
      <c r="D9" s="5" t="n">
        <v>38226</v>
      </c>
      <c r="E9" s="4" t="s">
        <v>57</v>
      </c>
      <c r="F9" s="4" t="s">
        <v>58</v>
      </c>
      <c r="G9" s="4" t="n">
        <v>33</v>
      </c>
      <c r="H9" s="4" t="str">
        <f aca="false">INDEX(Groups!$B:$B,MATCH(G9,Groups!$A:$A,0))</f>
        <v>LAW-23</v>
      </c>
    </row>
    <row r="10" customFormat="false" ht="15" hidden="false" customHeight="false" outlineLevel="0" collapsed="false">
      <c r="A10" s="4" t="n">
        <v>1023</v>
      </c>
      <c r="B10" s="4" t="s">
        <v>95</v>
      </c>
      <c r="C10" s="4" t="s">
        <v>96</v>
      </c>
      <c r="D10" s="5" t="n">
        <v>38338</v>
      </c>
      <c r="E10" s="4" t="s">
        <v>97</v>
      </c>
      <c r="F10" s="4" t="s">
        <v>98</v>
      </c>
      <c r="G10" s="4" t="n">
        <v>28</v>
      </c>
      <c r="H10" s="4" t="str">
        <f aca="false">INDEX(Groups!$B:$B,MATCH(G10,Groups!$A:$A,0))</f>
        <v>ECON-23</v>
      </c>
    </row>
    <row r="11" customFormat="false" ht="15" hidden="false" customHeight="false" outlineLevel="0" collapsed="false">
      <c r="A11" s="4" t="n">
        <v>1017</v>
      </c>
      <c r="B11" s="4" t="s">
        <v>71</v>
      </c>
      <c r="C11" s="4" t="s">
        <v>72</v>
      </c>
      <c r="D11" s="5" t="n">
        <v>38480</v>
      </c>
      <c r="E11" s="4" t="s">
        <v>73</v>
      </c>
      <c r="F11" s="4" t="s">
        <v>74</v>
      </c>
      <c r="G11" s="4" t="n">
        <v>22</v>
      </c>
      <c r="H11" s="4" t="str">
        <f aca="false">INDEX(Groups!$B:$B,MATCH(G11,Groups!$A:$A,0))</f>
        <v>IS-24</v>
      </c>
    </row>
    <row r="12" customFormat="false" ht="15" hidden="false" customHeight="false" outlineLevel="0" collapsed="false">
      <c r="A12" s="4" t="n">
        <v>1018</v>
      </c>
      <c r="B12" s="4" t="s">
        <v>75</v>
      </c>
      <c r="C12" s="4" t="s">
        <v>76</v>
      </c>
      <c r="D12" s="5" t="n">
        <v>39219</v>
      </c>
      <c r="E12" s="4" t="s">
        <v>77</v>
      </c>
      <c r="F12" s="4" t="s">
        <v>78</v>
      </c>
      <c r="G12" s="4" t="n">
        <v>23</v>
      </c>
      <c r="H12" s="4" t="str">
        <f aca="false">INDEX(Groups!$B:$B,MATCH(G12,Groups!$A:$A,0))</f>
        <v>IS-25</v>
      </c>
    </row>
    <row r="13" customFormat="false" ht="15" hidden="false" customHeight="false" outlineLevel="0" collapsed="false">
      <c r="A13" s="4" t="n">
        <v>1010</v>
      </c>
      <c r="B13" s="4" t="s">
        <v>43</v>
      </c>
      <c r="C13" s="4" t="s">
        <v>44</v>
      </c>
      <c r="D13" s="5" t="n">
        <v>38838</v>
      </c>
      <c r="E13" s="4" t="s">
        <v>45</v>
      </c>
      <c r="F13" s="4" t="s">
        <v>46</v>
      </c>
      <c r="G13" s="4" t="n">
        <v>30</v>
      </c>
      <c r="H13" s="4" t="str">
        <f aca="false">INDEX(Groups!$B:$B,MATCH(G13,Groups!$A:$A,0))</f>
        <v>PE-24</v>
      </c>
    </row>
    <row r="14" customFormat="false" ht="15" hidden="false" customHeight="false" outlineLevel="0" collapsed="false">
      <c r="A14" s="4" t="n">
        <v>1022</v>
      </c>
      <c r="B14" s="4" t="s">
        <v>91</v>
      </c>
      <c r="C14" s="4" t="s">
        <v>92</v>
      </c>
      <c r="D14" s="5" t="n">
        <v>38760</v>
      </c>
      <c r="E14" s="4" t="s">
        <v>93</v>
      </c>
      <c r="F14" s="4" t="s">
        <v>94</v>
      </c>
      <c r="G14" s="4" t="n">
        <v>27</v>
      </c>
      <c r="H14" s="4" t="str">
        <f aca="false">INDEX(Groups!$B:$B,MATCH(G14,Groups!$A:$A,0))</f>
        <v>MATH-24</v>
      </c>
    </row>
    <row r="15" customFormat="false" ht="15" hidden="false" customHeight="false" outlineLevel="0" collapsed="false">
      <c r="A15" s="4" t="n">
        <v>1004</v>
      </c>
      <c r="B15" s="4" t="s">
        <v>19</v>
      </c>
      <c r="C15" s="4" t="s">
        <v>20</v>
      </c>
      <c r="D15" s="5" t="n">
        <v>38366</v>
      </c>
      <c r="E15" s="4" t="s">
        <v>21</v>
      </c>
      <c r="F15" s="4" t="s">
        <v>22</v>
      </c>
      <c r="G15" s="4" t="n">
        <v>24</v>
      </c>
      <c r="H15" s="4" t="str">
        <f aca="false">INDEX(Groups!$B:$B,MATCH(G15,Groups!$A:$A,0))</f>
        <v>CE-23</v>
      </c>
    </row>
    <row r="16" customFormat="false" ht="15" hidden="false" customHeight="false" outlineLevel="0" collapsed="false">
      <c r="A16" s="4" t="n">
        <v>1029</v>
      </c>
      <c r="B16" s="4" t="s">
        <v>119</v>
      </c>
      <c r="C16" s="4" t="s">
        <v>120</v>
      </c>
      <c r="D16" s="5" t="n">
        <v>39356</v>
      </c>
      <c r="E16" s="4" t="s">
        <v>121</v>
      </c>
      <c r="F16" s="4" t="s">
        <v>122</v>
      </c>
      <c r="G16" s="4" t="n">
        <v>34</v>
      </c>
      <c r="H16" s="4" t="str">
        <f aca="false">INDEX(Groups!$B:$B,MATCH(G16,Groups!$A:$A,0))</f>
        <v>ECO-25</v>
      </c>
    </row>
    <row r="17" customFormat="false" ht="15" hidden="false" customHeight="false" outlineLevel="0" collapsed="false">
      <c r="A17" s="4" t="n">
        <v>1015</v>
      </c>
      <c r="B17" s="4" t="s">
        <v>63</v>
      </c>
      <c r="C17" s="4" t="s">
        <v>64</v>
      </c>
      <c r="D17" s="5" t="n">
        <v>38448</v>
      </c>
      <c r="E17" s="4" t="s">
        <v>65</v>
      </c>
      <c r="F17" s="4" t="s">
        <v>66</v>
      </c>
      <c r="G17" s="4" t="n">
        <v>35</v>
      </c>
      <c r="H17" s="4" t="str">
        <f aca="false">INDEX(Groups!$B:$B,MATCH(G17,Groups!$A:$A,0))</f>
        <v>FL-24</v>
      </c>
    </row>
    <row r="18" customFormat="false" ht="15" hidden="false" customHeight="false" outlineLevel="0" collapsed="false">
      <c r="A18" s="4" t="n">
        <v>1026</v>
      </c>
      <c r="B18" s="4" t="s">
        <v>107</v>
      </c>
      <c r="C18" s="4" t="s">
        <v>108</v>
      </c>
      <c r="D18" s="5" t="n">
        <v>39116</v>
      </c>
      <c r="E18" s="4" t="s">
        <v>109</v>
      </c>
      <c r="F18" s="4" t="s">
        <v>110</v>
      </c>
      <c r="G18" s="4" t="n">
        <v>31</v>
      </c>
      <c r="H18" s="4" t="str">
        <f aca="false">INDEX(Groups!$B:$B,MATCH(G18,Groups!$A:$A,0))</f>
        <v>PE-25</v>
      </c>
    </row>
    <row r="19" customFormat="false" ht="15" hidden="false" customHeight="false" outlineLevel="0" collapsed="false">
      <c r="A19" s="4" t="n">
        <v>1006</v>
      </c>
      <c r="B19" s="4" t="s">
        <v>27</v>
      </c>
      <c r="C19" s="4" t="s">
        <v>28</v>
      </c>
      <c r="D19" s="5" t="n">
        <v>39311</v>
      </c>
      <c r="E19" s="4" t="s">
        <v>29</v>
      </c>
      <c r="F19" s="4" t="s">
        <v>30</v>
      </c>
      <c r="G19" s="4" t="n">
        <v>26</v>
      </c>
      <c r="H19" s="4" t="str">
        <f aca="false">INDEX(Groups!$B:$B,MATCH(G19,Groups!$A:$A,0))</f>
        <v>CE-25</v>
      </c>
    </row>
    <row r="20" customFormat="false" ht="15" hidden="false" customHeight="false" outlineLevel="0" collapsed="false">
      <c r="A20" s="4" t="n">
        <v>1028</v>
      </c>
      <c r="B20" s="4" t="s">
        <v>115</v>
      </c>
      <c r="C20" s="4" t="s">
        <v>116</v>
      </c>
      <c r="D20" s="5" t="n">
        <v>38672</v>
      </c>
      <c r="E20" s="4" t="s">
        <v>117</v>
      </c>
      <c r="F20" s="4" t="s">
        <v>118</v>
      </c>
      <c r="G20" s="4" t="n">
        <v>33</v>
      </c>
      <c r="H20" s="4" t="str">
        <f aca="false">INDEX(Groups!$B:$B,MATCH(G20,Groups!$A:$A,0))</f>
        <v>LAW-23</v>
      </c>
    </row>
    <row r="21" customFormat="false" ht="15" hidden="false" customHeight="false" outlineLevel="0" collapsed="false">
      <c r="A21" s="4" t="n">
        <v>1001</v>
      </c>
      <c r="B21" s="4" t="s">
        <v>7</v>
      </c>
      <c r="C21" s="4" t="s">
        <v>8</v>
      </c>
      <c r="D21" s="5" t="n">
        <v>38380</v>
      </c>
      <c r="E21" s="4" t="s">
        <v>9</v>
      </c>
      <c r="F21" s="4" t="s">
        <v>10</v>
      </c>
      <c r="G21" s="4" t="n">
        <v>21</v>
      </c>
      <c r="H21" s="4" t="str">
        <f aca="false">INDEX(Groups!$B:$B,MATCH(G21,Groups!$A:$A,0))</f>
        <v>IS-23</v>
      </c>
    </row>
    <row r="22" customFormat="false" ht="15" hidden="false" customHeight="false" outlineLevel="0" collapsed="false">
      <c r="A22" s="4" t="n">
        <v>1014</v>
      </c>
      <c r="B22" s="4" t="s">
        <v>59</v>
      </c>
      <c r="C22" s="4" t="s">
        <v>60</v>
      </c>
      <c r="D22" s="5" t="n">
        <v>38786</v>
      </c>
      <c r="E22" s="4" t="s">
        <v>61</v>
      </c>
      <c r="F22" s="4" t="s">
        <v>62</v>
      </c>
      <c r="G22" s="4" t="n">
        <v>34</v>
      </c>
      <c r="H22" s="4" t="str">
        <f aca="false">INDEX(Groups!$B:$B,MATCH(G22,Groups!$A:$A,0))</f>
        <v>ECO-25</v>
      </c>
    </row>
    <row r="23" customFormat="false" ht="15" hidden="false" customHeight="false" outlineLevel="0" collapsed="false">
      <c r="A23" s="4" t="n">
        <v>1027</v>
      </c>
      <c r="B23" s="4" t="s">
        <v>111</v>
      </c>
      <c r="C23" s="4" t="s">
        <v>112</v>
      </c>
      <c r="D23" s="5" t="n">
        <v>38709</v>
      </c>
      <c r="E23" s="4" t="s">
        <v>113</v>
      </c>
      <c r="F23" s="4" t="s">
        <v>114</v>
      </c>
      <c r="G23" s="4" t="n">
        <v>32</v>
      </c>
      <c r="H23" s="4" t="str">
        <f aca="false">INDEX(Groups!$B:$B,MATCH(G23,Groups!$A:$A,0))</f>
        <v>ACC-24</v>
      </c>
    </row>
    <row r="24" customFormat="false" ht="15" hidden="false" customHeight="false" outlineLevel="0" collapsed="false">
      <c r="A24" s="4" t="n">
        <v>1025</v>
      </c>
      <c r="B24" s="4" t="s">
        <v>103</v>
      </c>
      <c r="C24" s="4" t="s">
        <v>104</v>
      </c>
      <c r="D24" s="5" t="n">
        <v>38399</v>
      </c>
      <c r="E24" s="4" t="s">
        <v>105</v>
      </c>
      <c r="F24" s="4" t="s">
        <v>106</v>
      </c>
      <c r="G24" s="4" t="n">
        <v>30</v>
      </c>
      <c r="H24" s="4" t="str">
        <f aca="false">INDEX(Groups!$B:$B,MATCH(G24,Groups!$A:$A,0))</f>
        <v>PE-24</v>
      </c>
    </row>
    <row r="25" customFormat="false" ht="15" hidden="false" customHeight="false" outlineLevel="0" collapsed="false">
      <c r="A25" s="4" t="n">
        <v>1002</v>
      </c>
      <c r="B25" s="4" t="s">
        <v>11</v>
      </c>
      <c r="C25" s="4" t="s">
        <v>12</v>
      </c>
      <c r="D25" s="5" t="n">
        <v>38921</v>
      </c>
      <c r="E25" s="4" t="s">
        <v>13</v>
      </c>
      <c r="F25" s="4" t="s">
        <v>14</v>
      </c>
      <c r="G25" s="4" t="n">
        <v>22</v>
      </c>
      <c r="H25" s="4" t="str">
        <f aca="false">INDEX(Groups!$B:$B,MATCH(G25,Groups!$A:$A,0))</f>
        <v>IS-24</v>
      </c>
    </row>
    <row r="26" customFormat="false" ht="15" hidden="false" customHeight="false" outlineLevel="0" collapsed="false">
      <c r="A26" s="4" t="n">
        <v>1019</v>
      </c>
      <c r="B26" s="4" t="s">
        <v>79</v>
      </c>
      <c r="C26" s="4" t="s">
        <v>80</v>
      </c>
      <c r="D26" s="5" t="n">
        <v>38582</v>
      </c>
      <c r="E26" s="4" t="s">
        <v>81</v>
      </c>
      <c r="F26" s="4" t="s">
        <v>82</v>
      </c>
      <c r="G26" s="4" t="n">
        <v>24</v>
      </c>
      <c r="H26" s="4" t="str">
        <f aca="false">INDEX(Groups!$B:$B,MATCH(G26,Groups!$A:$A,0))</f>
        <v>CE-23</v>
      </c>
    </row>
    <row r="27" customFormat="false" ht="15" hidden="false" customHeight="false" outlineLevel="0" collapsed="false">
      <c r="A27" s="4" t="n">
        <v>1012</v>
      </c>
      <c r="B27" s="4" t="s">
        <v>51</v>
      </c>
      <c r="C27" s="4" t="s">
        <v>52</v>
      </c>
      <c r="D27" s="5" t="n">
        <v>39002</v>
      </c>
      <c r="E27" s="4" t="s">
        <v>53</v>
      </c>
      <c r="F27" s="4" t="s">
        <v>54</v>
      </c>
      <c r="G27" s="4" t="n">
        <v>32</v>
      </c>
      <c r="H27" s="4" t="str">
        <f aca="false">INDEX(Groups!$B:$B,MATCH(G27,Groups!$A:$A,0))</f>
        <v>ACC-24</v>
      </c>
    </row>
    <row r="28" customFormat="false" ht="15" hidden="false" customHeight="false" outlineLevel="0" collapsed="false">
      <c r="A28" s="4" t="n">
        <v>1024</v>
      </c>
      <c r="B28" s="4" t="s">
        <v>99</v>
      </c>
      <c r="C28" s="4" t="s">
        <v>100</v>
      </c>
      <c r="D28" s="5" t="n">
        <v>39256</v>
      </c>
      <c r="E28" s="4" t="s">
        <v>101</v>
      </c>
      <c r="F28" s="4" t="s">
        <v>102</v>
      </c>
      <c r="G28" s="4" t="n">
        <v>29</v>
      </c>
      <c r="H28" s="4" t="str">
        <f aca="false">INDEX(Groups!$B:$B,MATCH(G28,Groups!$A:$A,0))</f>
        <v>ECON-25</v>
      </c>
    </row>
    <row r="29" customFormat="false" ht="15" hidden="false" customHeight="false" outlineLevel="0" collapsed="false">
      <c r="A29" s="4" t="n">
        <v>1005</v>
      </c>
      <c r="B29" s="4" t="s">
        <v>23</v>
      </c>
      <c r="C29" s="4" t="s">
        <v>24</v>
      </c>
      <c r="D29" s="5" t="n">
        <v>38732</v>
      </c>
      <c r="E29" s="4" t="s">
        <v>25</v>
      </c>
      <c r="F29" s="4" t="s">
        <v>26</v>
      </c>
      <c r="G29" s="4" t="n">
        <v>25</v>
      </c>
      <c r="H29" s="4" t="str">
        <f aca="false">INDEX(Groups!$B:$B,MATCH(G29,Groups!$A:$A,0))</f>
        <v>CE-24</v>
      </c>
    </row>
    <row r="30" customFormat="false" ht="15" hidden="false" customHeight="false" outlineLevel="0" collapsed="false">
      <c r="A30" s="4" t="n">
        <v>1030</v>
      </c>
      <c r="B30" s="4" t="s">
        <v>123</v>
      </c>
      <c r="C30" s="4" t="s">
        <v>124</v>
      </c>
      <c r="D30" s="5" t="n">
        <v>38386</v>
      </c>
      <c r="E30" s="4" t="s">
        <v>125</v>
      </c>
      <c r="F30" s="4" t="s">
        <v>126</v>
      </c>
      <c r="G30" s="4" t="n">
        <v>35</v>
      </c>
      <c r="H30" s="4" t="str">
        <f aca="false">INDEX(Groups!$B:$B,MATCH(G30,Groups!$A:$A,0))</f>
        <v>FL-24</v>
      </c>
    </row>
    <row r="31" customFormat="false" ht="15" hidden="false" customHeight="false" outlineLevel="0" collapsed="false">
      <c r="A31" s="4" t="n">
        <v>1008</v>
      </c>
      <c r="B31" s="4" t="s">
        <v>35</v>
      </c>
      <c r="C31" s="4" t="s">
        <v>36</v>
      </c>
      <c r="D31" s="5" t="n">
        <v>38635</v>
      </c>
      <c r="E31" s="4" t="s">
        <v>37</v>
      </c>
      <c r="F31" s="4" t="s">
        <v>38</v>
      </c>
      <c r="G31" s="4" t="n">
        <v>28</v>
      </c>
      <c r="H31" s="4" t="str">
        <f aca="false">INDEX(Groups!$B:$B,MATCH(G31,Groups!$A:$A,0))</f>
        <v>ECON-23</v>
      </c>
    </row>
    <row r="32" customFormat="false" ht="15" hidden="false" customHeight="false" outlineLevel="0" collapsed="false">
      <c r="A32" s="4" t="n">
        <v>1009</v>
      </c>
      <c r="B32" s="4" t="s">
        <v>39</v>
      </c>
      <c r="C32" s="4" t="s">
        <v>40</v>
      </c>
      <c r="D32" s="5" t="n">
        <v>39040</v>
      </c>
      <c r="E32" s="4" t="s">
        <v>41</v>
      </c>
      <c r="F32" s="4" t="s">
        <v>42</v>
      </c>
      <c r="G32" s="4" t="n">
        <v>29</v>
      </c>
      <c r="H32" s="4" t="str">
        <f aca="false">INDEX(Groups!$B:$B,MATCH(G32,Groups!$A:$A,0))</f>
        <v>ECON-25</v>
      </c>
    </row>
    <row r="33" customFormat="false" ht="15" hidden="false" customHeight="false" outlineLevel="0" collapsed="false">
      <c r="A33" s="4" t="n">
        <v>1021</v>
      </c>
      <c r="B33" s="4" t="s">
        <v>87</v>
      </c>
      <c r="C33" s="4" t="s">
        <v>88</v>
      </c>
      <c r="D33" s="5" t="n">
        <v>39088</v>
      </c>
      <c r="E33" s="4" t="s">
        <v>89</v>
      </c>
      <c r="F33" s="4" t="s">
        <v>90</v>
      </c>
      <c r="G33" s="4" t="n">
        <v>26</v>
      </c>
      <c r="H33" s="4" t="str">
        <f aca="false">INDEX(Groups!$B:$B,MATCH(G33,Groups!$A:$A,0))</f>
        <v>CE-25</v>
      </c>
    </row>
  </sheetData>
  <autoFilter ref="A3:H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37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0" t="s">
        <v>355</v>
      </c>
    </row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127</v>
      </c>
    </row>
    <row r="4" customFormat="false" ht="15" hidden="false" customHeight="false" outlineLevel="0" collapsed="false">
      <c r="A4" s="4" t="n">
        <v>1016</v>
      </c>
      <c r="B4" s="4" t="s">
        <v>67</v>
      </c>
      <c r="C4" s="4" t="s">
        <v>68</v>
      </c>
      <c r="D4" s="5" t="n">
        <v>38031</v>
      </c>
      <c r="E4" s="4" t="s">
        <v>69</v>
      </c>
      <c r="F4" s="4" t="s">
        <v>70</v>
      </c>
      <c r="G4" s="4" t="n">
        <v>21</v>
      </c>
      <c r="H4" s="4" t="str">
        <f aca="false">INDEX(Groups!$B:$B,MATCH(G4,Groups!$A:$A,0))</f>
        <v>IS-23</v>
      </c>
    </row>
    <row r="5" customFormat="false" ht="15" hidden="false" customHeight="false" outlineLevel="0" collapsed="false">
      <c r="A5" s="4" t="n">
        <v>1001</v>
      </c>
      <c r="B5" s="4" t="s">
        <v>7</v>
      </c>
      <c r="C5" s="4" t="s">
        <v>8</v>
      </c>
      <c r="D5" s="5" t="n">
        <v>38380</v>
      </c>
      <c r="E5" s="4" t="s">
        <v>9</v>
      </c>
      <c r="F5" s="4" t="s">
        <v>10</v>
      </c>
      <c r="G5" s="4" t="n">
        <v>21</v>
      </c>
      <c r="H5" s="4" t="str">
        <f aca="false">INDEX(Groups!$B:$B,MATCH(G5,Groups!$A:$A,0))</f>
        <v>IS-23</v>
      </c>
    </row>
    <row r="6" customFormat="false" ht="15" hidden="false" customHeight="false" outlineLevel="0" collapsed="false">
      <c r="A6" s="4" t="n">
        <v>1017</v>
      </c>
      <c r="B6" s="4" t="s">
        <v>71</v>
      </c>
      <c r="C6" s="4" t="s">
        <v>72</v>
      </c>
      <c r="D6" s="5" t="n">
        <v>38480</v>
      </c>
      <c r="E6" s="4" t="s">
        <v>73</v>
      </c>
      <c r="F6" s="4" t="s">
        <v>74</v>
      </c>
      <c r="G6" s="4" t="n">
        <v>22</v>
      </c>
      <c r="H6" s="4" t="str">
        <f aca="false">INDEX(Groups!$B:$B,MATCH(G6,Groups!$A:$A,0))</f>
        <v>IS-24</v>
      </c>
    </row>
    <row r="7" customFormat="false" ht="15" hidden="false" customHeight="false" outlineLevel="0" collapsed="false">
      <c r="A7" s="4" t="n">
        <v>1002</v>
      </c>
      <c r="B7" s="4" t="s">
        <v>11</v>
      </c>
      <c r="C7" s="4" t="s">
        <v>12</v>
      </c>
      <c r="D7" s="5" t="n">
        <v>38921</v>
      </c>
      <c r="E7" s="4" t="s">
        <v>13</v>
      </c>
      <c r="F7" s="4" t="s">
        <v>14</v>
      </c>
      <c r="G7" s="4" t="n">
        <v>22</v>
      </c>
      <c r="H7" s="4" t="str">
        <f aca="false">INDEX(Groups!$B:$B,MATCH(G7,Groups!$A:$A,0))</f>
        <v>IS-24</v>
      </c>
    </row>
    <row r="8" customFormat="false" ht="15" hidden="false" customHeight="false" outlineLevel="0" collapsed="false">
      <c r="A8" s="4" t="n">
        <v>1003</v>
      </c>
      <c r="B8" s="4" t="s">
        <v>15</v>
      </c>
      <c r="C8" s="4" t="s">
        <v>16</v>
      </c>
      <c r="D8" s="5" t="n">
        <v>38832</v>
      </c>
      <c r="E8" s="4" t="s">
        <v>17</v>
      </c>
      <c r="F8" s="4" t="s">
        <v>18</v>
      </c>
      <c r="G8" s="4" t="n">
        <v>23</v>
      </c>
      <c r="H8" s="4" t="str">
        <f aca="false">INDEX(Groups!$B:$B,MATCH(G8,Groups!$A:$A,0))</f>
        <v>IS-25</v>
      </c>
    </row>
    <row r="9" customFormat="false" ht="15" hidden="false" customHeight="false" outlineLevel="0" collapsed="false">
      <c r="A9" s="4" t="n">
        <v>1018</v>
      </c>
      <c r="B9" s="4" t="s">
        <v>75</v>
      </c>
      <c r="C9" s="4" t="s">
        <v>76</v>
      </c>
      <c r="D9" s="5" t="n">
        <v>39219</v>
      </c>
      <c r="E9" s="4" t="s">
        <v>77</v>
      </c>
      <c r="F9" s="4" t="s">
        <v>78</v>
      </c>
      <c r="G9" s="4" t="n">
        <v>23</v>
      </c>
      <c r="H9" s="4" t="str">
        <f aca="false">INDEX(Groups!$B:$B,MATCH(G9,Groups!$A:$A,0))</f>
        <v>IS-25</v>
      </c>
    </row>
    <row r="10" customFormat="false" ht="15" hidden="false" customHeight="false" outlineLevel="0" collapsed="false">
      <c r="A10" s="4" t="n">
        <v>1004</v>
      </c>
      <c r="B10" s="4" t="s">
        <v>19</v>
      </c>
      <c r="C10" s="4" t="s">
        <v>20</v>
      </c>
      <c r="D10" s="5" t="n">
        <v>38366</v>
      </c>
      <c r="E10" s="4" t="s">
        <v>21</v>
      </c>
      <c r="F10" s="4" t="s">
        <v>22</v>
      </c>
      <c r="G10" s="4" t="n">
        <v>24</v>
      </c>
      <c r="H10" s="4" t="str">
        <f aca="false">INDEX(Groups!$B:$B,MATCH(G10,Groups!$A:$A,0))</f>
        <v>CE-23</v>
      </c>
    </row>
    <row r="11" customFormat="false" ht="15" hidden="false" customHeight="false" outlineLevel="0" collapsed="false">
      <c r="A11" s="4" t="n">
        <v>1019</v>
      </c>
      <c r="B11" s="4" t="s">
        <v>79</v>
      </c>
      <c r="C11" s="4" t="s">
        <v>80</v>
      </c>
      <c r="D11" s="5" t="n">
        <v>38582</v>
      </c>
      <c r="E11" s="4" t="s">
        <v>81</v>
      </c>
      <c r="F11" s="4" t="s">
        <v>82</v>
      </c>
      <c r="G11" s="4" t="n">
        <v>24</v>
      </c>
      <c r="H11" s="4" t="str">
        <f aca="false">INDEX(Groups!$B:$B,MATCH(G11,Groups!$A:$A,0))</f>
        <v>CE-23</v>
      </c>
    </row>
    <row r="12" customFormat="false" ht="15" hidden="false" customHeight="false" outlineLevel="0" collapsed="false">
      <c r="A12" s="4" t="n">
        <v>1020</v>
      </c>
      <c r="B12" s="4" t="s">
        <v>83</v>
      </c>
      <c r="C12" s="4" t="s">
        <v>84</v>
      </c>
      <c r="D12" s="5" t="n">
        <v>38355</v>
      </c>
      <c r="E12" s="4" t="s">
        <v>85</v>
      </c>
      <c r="F12" s="4" t="s">
        <v>86</v>
      </c>
      <c r="G12" s="4" t="n">
        <v>25</v>
      </c>
      <c r="H12" s="4" t="str">
        <f aca="false">INDEX(Groups!$B:$B,MATCH(G12,Groups!$A:$A,0))</f>
        <v>CE-24</v>
      </c>
    </row>
    <row r="13" customFormat="false" ht="15" hidden="false" customHeight="false" outlineLevel="0" collapsed="false">
      <c r="A13" s="4" t="n">
        <v>1005</v>
      </c>
      <c r="B13" s="4" t="s">
        <v>23</v>
      </c>
      <c r="C13" s="4" t="s">
        <v>24</v>
      </c>
      <c r="D13" s="5" t="n">
        <v>38732</v>
      </c>
      <c r="E13" s="4" t="s">
        <v>25</v>
      </c>
      <c r="F13" s="4" t="s">
        <v>26</v>
      </c>
      <c r="G13" s="4" t="n">
        <v>25</v>
      </c>
      <c r="H13" s="4" t="str">
        <f aca="false">INDEX(Groups!$B:$B,MATCH(G13,Groups!$A:$A,0))</f>
        <v>CE-24</v>
      </c>
    </row>
    <row r="14" customFormat="false" ht="15" hidden="false" customHeight="false" outlineLevel="0" collapsed="false">
      <c r="A14" s="4" t="n">
        <v>1006</v>
      </c>
      <c r="B14" s="4" t="s">
        <v>27</v>
      </c>
      <c r="C14" s="4" t="s">
        <v>28</v>
      </c>
      <c r="D14" s="5" t="n">
        <v>39311</v>
      </c>
      <c r="E14" s="4" t="s">
        <v>29</v>
      </c>
      <c r="F14" s="4" t="s">
        <v>30</v>
      </c>
      <c r="G14" s="4" t="n">
        <v>26</v>
      </c>
      <c r="H14" s="4" t="str">
        <f aca="false">INDEX(Groups!$B:$B,MATCH(G14,Groups!$A:$A,0))</f>
        <v>CE-25</v>
      </c>
    </row>
    <row r="15" customFormat="false" ht="15" hidden="false" customHeight="false" outlineLevel="0" collapsed="false">
      <c r="A15" s="4" t="n">
        <v>1021</v>
      </c>
      <c r="B15" s="4" t="s">
        <v>87</v>
      </c>
      <c r="C15" s="4" t="s">
        <v>88</v>
      </c>
      <c r="D15" s="5" t="n">
        <v>39088</v>
      </c>
      <c r="E15" s="4" t="s">
        <v>89</v>
      </c>
      <c r="F15" s="4" t="s">
        <v>90</v>
      </c>
      <c r="G15" s="4" t="n">
        <v>26</v>
      </c>
      <c r="H15" s="4" t="str">
        <f aca="false">INDEX(Groups!$B:$B,MATCH(G15,Groups!$A:$A,0))</f>
        <v>CE-25</v>
      </c>
    </row>
    <row r="16" customFormat="false" ht="15" hidden="false" customHeight="false" outlineLevel="0" collapsed="false">
      <c r="A16" s="4" t="n">
        <v>1007</v>
      </c>
      <c r="B16" s="4" t="s">
        <v>31</v>
      </c>
      <c r="C16" s="4" t="s">
        <v>32</v>
      </c>
      <c r="D16" s="5" t="n">
        <v>38537</v>
      </c>
      <c r="E16" s="4" t="s">
        <v>33</v>
      </c>
      <c r="F16" s="4" t="s">
        <v>34</v>
      </c>
      <c r="G16" s="4" t="n">
        <v>27</v>
      </c>
      <c r="H16" s="4" t="str">
        <f aca="false">INDEX(Groups!$B:$B,MATCH(G16,Groups!$A:$A,0))</f>
        <v>MATH-24</v>
      </c>
    </row>
    <row r="17" customFormat="false" ht="15" hidden="false" customHeight="false" outlineLevel="0" collapsed="false">
      <c r="A17" s="4" t="n">
        <v>1022</v>
      </c>
      <c r="B17" s="4" t="s">
        <v>91</v>
      </c>
      <c r="C17" s="4" t="s">
        <v>92</v>
      </c>
      <c r="D17" s="5" t="n">
        <v>38760</v>
      </c>
      <c r="E17" s="4" t="s">
        <v>93</v>
      </c>
      <c r="F17" s="4" t="s">
        <v>94</v>
      </c>
      <c r="G17" s="4" t="n">
        <v>27</v>
      </c>
      <c r="H17" s="4" t="str">
        <f aca="false">INDEX(Groups!$B:$B,MATCH(G17,Groups!$A:$A,0))</f>
        <v>MATH-24</v>
      </c>
    </row>
    <row r="18" customFormat="false" ht="15" hidden="false" customHeight="false" outlineLevel="0" collapsed="false">
      <c r="A18" s="4" t="n">
        <v>1023</v>
      </c>
      <c r="B18" s="4" t="s">
        <v>95</v>
      </c>
      <c r="C18" s="4" t="s">
        <v>96</v>
      </c>
      <c r="D18" s="5" t="n">
        <v>38338</v>
      </c>
      <c r="E18" s="4" t="s">
        <v>97</v>
      </c>
      <c r="F18" s="4" t="s">
        <v>98</v>
      </c>
      <c r="G18" s="4" t="n">
        <v>28</v>
      </c>
      <c r="H18" s="4" t="str">
        <f aca="false">INDEX(Groups!$B:$B,MATCH(G18,Groups!$A:$A,0))</f>
        <v>ECON-23</v>
      </c>
    </row>
    <row r="19" customFormat="false" ht="15" hidden="false" customHeight="false" outlineLevel="0" collapsed="false">
      <c r="A19" s="4" t="n">
        <v>1008</v>
      </c>
      <c r="B19" s="4" t="s">
        <v>35</v>
      </c>
      <c r="C19" s="4" t="s">
        <v>36</v>
      </c>
      <c r="D19" s="5" t="n">
        <v>38635</v>
      </c>
      <c r="E19" s="4" t="s">
        <v>37</v>
      </c>
      <c r="F19" s="4" t="s">
        <v>38</v>
      </c>
      <c r="G19" s="4" t="n">
        <v>28</v>
      </c>
      <c r="H19" s="4" t="str">
        <f aca="false">INDEX(Groups!$B:$B,MATCH(G19,Groups!$A:$A,0))</f>
        <v>ECON-23</v>
      </c>
    </row>
    <row r="20" customFormat="false" ht="15" hidden="false" customHeight="false" outlineLevel="0" collapsed="false">
      <c r="A20" s="4" t="n">
        <v>1024</v>
      </c>
      <c r="B20" s="4" t="s">
        <v>99</v>
      </c>
      <c r="C20" s="4" t="s">
        <v>100</v>
      </c>
      <c r="D20" s="5" t="n">
        <v>39256</v>
      </c>
      <c r="E20" s="4" t="s">
        <v>101</v>
      </c>
      <c r="F20" s="4" t="s">
        <v>102</v>
      </c>
      <c r="G20" s="4" t="n">
        <v>29</v>
      </c>
      <c r="H20" s="4" t="str">
        <f aca="false">INDEX(Groups!$B:$B,MATCH(G20,Groups!$A:$A,0))</f>
        <v>ECON-25</v>
      </c>
    </row>
    <row r="21" customFormat="false" ht="15" hidden="false" customHeight="false" outlineLevel="0" collapsed="false">
      <c r="A21" s="4" t="n">
        <v>1009</v>
      </c>
      <c r="B21" s="4" t="s">
        <v>39</v>
      </c>
      <c r="C21" s="4" t="s">
        <v>40</v>
      </c>
      <c r="D21" s="5" t="n">
        <v>39040</v>
      </c>
      <c r="E21" s="4" t="s">
        <v>41</v>
      </c>
      <c r="F21" s="4" t="s">
        <v>42</v>
      </c>
      <c r="G21" s="4" t="n">
        <v>29</v>
      </c>
      <c r="H21" s="4" t="str">
        <f aca="false">INDEX(Groups!$B:$B,MATCH(G21,Groups!$A:$A,0))</f>
        <v>ECON-25</v>
      </c>
    </row>
    <row r="22" customFormat="false" ht="15" hidden="false" customHeight="false" outlineLevel="0" collapsed="false">
      <c r="A22" s="4" t="n">
        <v>1010</v>
      </c>
      <c r="B22" s="4" t="s">
        <v>43</v>
      </c>
      <c r="C22" s="4" t="s">
        <v>44</v>
      </c>
      <c r="D22" s="5" t="n">
        <v>38838</v>
      </c>
      <c r="E22" s="4" t="s">
        <v>45</v>
      </c>
      <c r="F22" s="4" t="s">
        <v>46</v>
      </c>
      <c r="G22" s="4" t="n">
        <v>30</v>
      </c>
      <c r="H22" s="4" t="str">
        <f aca="false">INDEX(Groups!$B:$B,MATCH(G22,Groups!$A:$A,0))</f>
        <v>PE-24</v>
      </c>
    </row>
    <row r="23" customFormat="false" ht="15" hidden="false" customHeight="false" outlineLevel="0" collapsed="false">
      <c r="A23" s="4" t="n">
        <v>1025</v>
      </c>
      <c r="B23" s="4" t="s">
        <v>103</v>
      </c>
      <c r="C23" s="4" t="s">
        <v>104</v>
      </c>
      <c r="D23" s="5" t="n">
        <v>38399</v>
      </c>
      <c r="E23" s="4" t="s">
        <v>105</v>
      </c>
      <c r="F23" s="4" t="s">
        <v>106</v>
      </c>
      <c r="G23" s="4" t="n">
        <v>30</v>
      </c>
      <c r="H23" s="4" t="str">
        <f aca="false">INDEX(Groups!$B:$B,MATCH(G23,Groups!$A:$A,0))</f>
        <v>PE-24</v>
      </c>
    </row>
    <row r="24" customFormat="false" ht="15" hidden="false" customHeight="false" outlineLevel="0" collapsed="false">
      <c r="A24" s="4" t="n">
        <v>1011</v>
      </c>
      <c r="B24" s="4" t="s">
        <v>47</v>
      </c>
      <c r="C24" s="4" t="s">
        <v>48</v>
      </c>
      <c r="D24" s="5" t="n">
        <v>39116</v>
      </c>
      <c r="E24" s="4" t="s">
        <v>49</v>
      </c>
      <c r="F24" s="4" t="s">
        <v>50</v>
      </c>
      <c r="G24" s="4" t="n">
        <v>31</v>
      </c>
      <c r="H24" s="4" t="str">
        <f aca="false">INDEX(Groups!$B:$B,MATCH(G24,Groups!$A:$A,0))</f>
        <v>PE-25</v>
      </c>
    </row>
    <row r="25" customFormat="false" ht="15" hidden="false" customHeight="false" outlineLevel="0" collapsed="false">
      <c r="A25" s="4" t="n">
        <v>1026</v>
      </c>
      <c r="B25" s="4" t="s">
        <v>107</v>
      </c>
      <c r="C25" s="4" t="s">
        <v>108</v>
      </c>
      <c r="D25" s="5" t="n">
        <v>39116</v>
      </c>
      <c r="E25" s="4" t="s">
        <v>109</v>
      </c>
      <c r="F25" s="4" t="s">
        <v>110</v>
      </c>
      <c r="G25" s="4" t="n">
        <v>31</v>
      </c>
      <c r="H25" s="4" t="str">
        <f aca="false">INDEX(Groups!$B:$B,MATCH(G25,Groups!$A:$A,0))</f>
        <v>PE-25</v>
      </c>
    </row>
    <row r="26" customFormat="false" ht="15" hidden="false" customHeight="false" outlineLevel="0" collapsed="false">
      <c r="A26" s="4" t="n">
        <v>1027</v>
      </c>
      <c r="B26" s="4" t="s">
        <v>111</v>
      </c>
      <c r="C26" s="4" t="s">
        <v>112</v>
      </c>
      <c r="D26" s="5" t="n">
        <v>38709</v>
      </c>
      <c r="E26" s="4" t="s">
        <v>113</v>
      </c>
      <c r="F26" s="4" t="s">
        <v>114</v>
      </c>
      <c r="G26" s="4" t="n">
        <v>32</v>
      </c>
      <c r="H26" s="4" t="str">
        <f aca="false">INDEX(Groups!$B:$B,MATCH(G26,Groups!$A:$A,0))</f>
        <v>ACC-24</v>
      </c>
    </row>
    <row r="27" customFormat="false" ht="15" hidden="false" customHeight="false" outlineLevel="0" collapsed="false">
      <c r="A27" s="4" t="n">
        <v>1012</v>
      </c>
      <c r="B27" s="4" t="s">
        <v>51</v>
      </c>
      <c r="C27" s="4" t="s">
        <v>52</v>
      </c>
      <c r="D27" s="5" t="n">
        <v>39002</v>
      </c>
      <c r="E27" s="4" t="s">
        <v>53</v>
      </c>
      <c r="F27" s="4" t="s">
        <v>54</v>
      </c>
      <c r="G27" s="4" t="n">
        <v>32</v>
      </c>
      <c r="H27" s="4" t="str">
        <f aca="false">INDEX(Groups!$B:$B,MATCH(G27,Groups!$A:$A,0))</f>
        <v>ACC-24</v>
      </c>
    </row>
    <row r="28" customFormat="false" ht="15" hidden="false" customHeight="false" outlineLevel="0" collapsed="false">
      <c r="A28" s="4" t="n">
        <v>1013</v>
      </c>
      <c r="B28" s="4" t="s">
        <v>55</v>
      </c>
      <c r="C28" s="4" t="s">
        <v>56</v>
      </c>
      <c r="D28" s="5" t="n">
        <v>38226</v>
      </c>
      <c r="E28" s="4" t="s">
        <v>57</v>
      </c>
      <c r="F28" s="4" t="s">
        <v>58</v>
      </c>
      <c r="G28" s="4" t="n">
        <v>33</v>
      </c>
      <c r="H28" s="4" t="str">
        <f aca="false">INDEX(Groups!$B:$B,MATCH(G28,Groups!$A:$A,0))</f>
        <v>LAW-23</v>
      </c>
    </row>
    <row r="29" customFormat="false" ht="15" hidden="false" customHeight="false" outlineLevel="0" collapsed="false">
      <c r="A29" s="4" t="n">
        <v>1028</v>
      </c>
      <c r="B29" s="4" t="s">
        <v>115</v>
      </c>
      <c r="C29" s="4" t="s">
        <v>116</v>
      </c>
      <c r="D29" s="5" t="n">
        <v>38672</v>
      </c>
      <c r="E29" s="4" t="s">
        <v>117</v>
      </c>
      <c r="F29" s="4" t="s">
        <v>118</v>
      </c>
      <c r="G29" s="4" t="n">
        <v>33</v>
      </c>
      <c r="H29" s="4" t="str">
        <f aca="false">INDEX(Groups!$B:$B,MATCH(G29,Groups!$A:$A,0))</f>
        <v>LAW-23</v>
      </c>
    </row>
    <row r="30" customFormat="false" ht="15" hidden="false" customHeight="false" outlineLevel="0" collapsed="false">
      <c r="A30" s="4" t="n">
        <v>1029</v>
      </c>
      <c r="B30" s="4" t="s">
        <v>119</v>
      </c>
      <c r="C30" s="4" t="s">
        <v>120</v>
      </c>
      <c r="D30" s="5" t="n">
        <v>39356</v>
      </c>
      <c r="E30" s="4" t="s">
        <v>121</v>
      </c>
      <c r="F30" s="4" t="s">
        <v>122</v>
      </c>
      <c r="G30" s="4" t="n">
        <v>34</v>
      </c>
      <c r="H30" s="4" t="str">
        <f aca="false">INDEX(Groups!$B:$B,MATCH(G30,Groups!$A:$A,0))</f>
        <v>ECO-25</v>
      </c>
    </row>
    <row r="31" customFormat="false" ht="15" hidden="false" customHeight="false" outlineLevel="0" collapsed="false">
      <c r="A31" s="4" t="n">
        <v>1014</v>
      </c>
      <c r="B31" s="4" t="s">
        <v>59</v>
      </c>
      <c r="C31" s="4" t="s">
        <v>60</v>
      </c>
      <c r="D31" s="5" t="n">
        <v>38786</v>
      </c>
      <c r="E31" s="4" t="s">
        <v>61</v>
      </c>
      <c r="F31" s="4" t="s">
        <v>62</v>
      </c>
      <c r="G31" s="4" t="n">
        <v>34</v>
      </c>
      <c r="H31" s="4" t="str">
        <f aca="false">INDEX(Groups!$B:$B,MATCH(G31,Groups!$A:$A,0))</f>
        <v>ECO-25</v>
      </c>
    </row>
    <row r="32" customFormat="false" ht="15" hidden="false" customHeight="false" outlineLevel="0" collapsed="false">
      <c r="A32" s="4" t="n">
        <v>1015</v>
      </c>
      <c r="B32" s="4" t="s">
        <v>63</v>
      </c>
      <c r="C32" s="4" t="s">
        <v>64</v>
      </c>
      <c r="D32" s="5" t="n">
        <v>38448</v>
      </c>
      <c r="E32" s="4" t="s">
        <v>65</v>
      </c>
      <c r="F32" s="4" t="s">
        <v>66</v>
      </c>
      <c r="G32" s="4" t="n">
        <v>35</v>
      </c>
      <c r="H32" s="4" t="str">
        <f aca="false">INDEX(Groups!$B:$B,MATCH(G32,Groups!$A:$A,0))</f>
        <v>FL-24</v>
      </c>
    </row>
    <row r="33" customFormat="false" ht="15" hidden="false" customHeight="false" outlineLevel="0" collapsed="false">
      <c r="A33" s="4" t="n">
        <v>1030</v>
      </c>
      <c r="B33" s="4" t="s">
        <v>123</v>
      </c>
      <c r="C33" s="4" t="s">
        <v>124</v>
      </c>
      <c r="D33" s="5" t="n">
        <v>38386</v>
      </c>
      <c r="E33" s="4" t="s">
        <v>125</v>
      </c>
      <c r="F33" s="4" t="s">
        <v>126</v>
      </c>
      <c r="G33" s="4" t="n">
        <v>35</v>
      </c>
      <c r="H33" s="4" t="str">
        <f aca="false">INDEX(Groups!$B:$B,MATCH(G33,Groups!$A:$A,0))</f>
        <v>FL-24</v>
      </c>
    </row>
  </sheetData>
  <autoFilter ref="A3:H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37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0" t="s">
        <v>356</v>
      </c>
    </row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127</v>
      </c>
    </row>
    <row r="4" customFormat="false" ht="15" hidden="true" customHeight="false" outlineLevel="0" collapsed="false">
      <c r="A4" s="4" t="n">
        <v>1001</v>
      </c>
      <c r="B4" s="4" t="s">
        <v>7</v>
      </c>
      <c r="C4" s="4" t="s">
        <v>8</v>
      </c>
      <c r="D4" s="5" t="n">
        <v>38380</v>
      </c>
      <c r="E4" s="4" t="s">
        <v>9</v>
      </c>
      <c r="F4" s="4" t="s">
        <v>10</v>
      </c>
      <c r="G4" s="4" t="n">
        <v>21</v>
      </c>
      <c r="H4" s="4" t="str">
        <f aca="false">INDEX(Groups!$B:$B,MATCH(G4,Groups!$A:$A,0))</f>
        <v>IS-23</v>
      </c>
    </row>
    <row r="5" customFormat="false" ht="15" hidden="false" customHeight="false" outlineLevel="0" collapsed="false">
      <c r="A5" s="4" t="n">
        <v>1002</v>
      </c>
      <c r="B5" s="4" t="s">
        <v>11</v>
      </c>
      <c r="C5" s="4" t="s">
        <v>12</v>
      </c>
      <c r="D5" s="5" t="n">
        <v>38921</v>
      </c>
      <c r="E5" s="4" t="s">
        <v>13</v>
      </c>
      <c r="F5" s="4" t="s">
        <v>14</v>
      </c>
      <c r="G5" s="4" t="n">
        <v>22</v>
      </c>
      <c r="H5" s="4" t="str">
        <f aca="false">INDEX(Groups!$B:$B,MATCH(G5,Groups!$A:$A,0))</f>
        <v>IS-24</v>
      </c>
    </row>
    <row r="6" customFormat="false" ht="15" hidden="true" customHeight="false" outlineLevel="0" collapsed="false">
      <c r="A6" s="4" t="n">
        <v>1003</v>
      </c>
      <c r="B6" s="4" t="s">
        <v>15</v>
      </c>
      <c r="C6" s="4" t="s">
        <v>16</v>
      </c>
      <c r="D6" s="5" t="n">
        <v>38832</v>
      </c>
      <c r="E6" s="4" t="s">
        <v>17</v>
      </c>
      <c r="F6" s="4" t="s">
        <v>18</v>
      </c>
      <c r="G6" s="4" t="n">
        <v>23</v>
      </c>
      <c r="H6" s="4" t="str">
        <f aca="false">INDEX(Groups!$B:$B,MATCH(G6,Groups!$A:$A,0))</f>
        <v>IS-25</v>
      </c>
    </row>
    <row r="7" customFormat="false" ht="15" hidden="true" customHeight="false" outlineLevel="0" collapsed="false">
      <c r="A7" s="4" t="n">
        <v>1004</v>
      </c>
      <c r="B7" s="4" t="s">
        <v>19</v>
      </c>
      <c r="C7" s="4" t="s">
        <v>20</v>
      </c>
      <c r="D7" s="5" t="n">
        <v>38366</v>
      </c>
      <c r="E7" s="4" t="s">
        <v>21</v>
      </c>
      <c r="F7" s="4" t="s">
        <v>22</v>
      </c>
      <c r="G7" s="4" t="n">
        <v>24</v>
      </c>
      <c r="H7" s="4" t="str">
        <f aca="false">INDEX(Groups!$B:$B,MATCH(G7,Groups!$A:$A,0))</f>
        <v>CE-23</v>
      </c>
    </row>
    <row r="8" customFormat="false" ht="15" hidden="true" customHeight="false" outlineLevel="0" collapsed="false">
      <c r="A8" s="4" t="n">
        <v>1005</v>
      </c>
      <c r="B8" s="4" t="s">
        <v>23</v>
      </c>
      <c r="C8" s="4" t="s">
        <v>24</v>
      </c>
      <c r="D8" s="5" t="n">
        <v>38732</v>
      </c>
      <c r="E8" s="4" t="s">
        <v>25</v>
      </c>
      <c r="F8" s="4" t="s">
        <v>26</v>
      </c>
      <c r="G8" s="4" t="n">
        <v>25</v>
      </c>
      <c r="H8" s="4" t="str">
        <f aca="false">INDEX(Groups!$B:$B,MATCH(G8,Groups!$A:$A,0))</f>
        <v>CE-24</v>
      </c>
    </row>
    <row r="9" customFormat="false" ht="15" hidden="true" customHeight="false" outlineLevel="0" collapsed="false">
      <c r="A9" s="4" t="n">
        <v>1006</v>
      </c>
      <c r="B9" s="4" t="s">
        <v>27</v>
      </c>
      <c r="C9" s="4" t="s">
        <v>28</v>
      </c>
      <c r="D9" s="5" t="n">
        <v>39311</v>
      </c>
      <c r="E9" s="4" t="s">
        <v>29</v>
      </c>
      <c r="F9" s="4" t="s">
        <v>30</v>
      </c>
      <c r="G9" s="4" t="n">
        <v>26</v>
      </c>
      <c r="H9" s="4" t="str">
        <f aca="false">INDEX(Groups!$B:$B,MATCH(G9,Groups!$A:$A,0))</f>
        <v>CE-25</v>
      </c>
    </row>
    <row r="10" customFormat="false" ht="15" hidden="true" customHeight="false" outlineLevel="0" collapsed="false">
      <c r="A10" s="4" t="n">
        <v>1007</v>
      </c>
      <c r="B10" s="4" t="s">
        <v>31</v>
      </c>
      <c r="C10" s="4" t="s">
        <v>32</v>
      </c>
      <c r="D10" s="5" t="n">
        <v>38537</v>
      </c>
      <c r="E10" s="4" t="s">
        <v>33</v>
      </c>
      <c r="F10" s="4" t="s">
        <v>34</v>
      </c>
      <c r="G10" s="4" t="n">
        <v>27</v>
      </c>
      <c r="H10" s="4" t="str">
        <f aca="false">INDEX(Groups!$B:$B,MATCH(G10,Groups!$A:$A,0))</f>
        <v>MATH-24</v>
      </c>
    </row>
    <row r="11" customFormat="false" ht="15" hidden="true" customHeight="false" outlineLevel="0" collapsed="false">
      <c r="A11" s="4" t="n">
        <v>1008</v>
      </c>
      <c r="B11" s="4" t="s">
        <v>35</v>
      </c>
      <c r="C11" s="4" t="s">
        <v>36</v>
      </c>
      <c r="D11" s="5" t="n">
        <v>38635</v>
      </c>
      <c r="E11" s="4" t="s">
        <v>37</v>
      </c>
      <c r="F11" s="4" t="s">
        <v>38</v>
      </c>
      <c r="G11" s="4" t="n">
        <v>28</v>
      </c>
      <c r="H11" s="4" t="str">
        <f aca="false">INDEX(Groups!$B:$B,MATCH(G11,Groups!$A:$A,0))</f>
        <v>ECON-23</v>
      </c>
    </row>
    <row r="12" customFormat="false" ht="15" hidden="true" customHeight="false" outlineLevel="0" collapsed="false">
      <c r="A12" s="4" t="n">
        <v>1009</v>
      </c>
      <c r="B12" s="4" t="s">
        <v>39</v>
      </c>
      <c r="C12" s="4" t="s">
        <v>40</v>
      </c>
      <c r="D12" s="5" t="n">
        <v>39040</v>
      </c>
      <c r="E12" s="4" t="s">
        <v>41</v>
      </c>
      <c r="F12" s="4" t="s">
        <v>42</v>
      </c>
      <c r="G12" s="4" t="n">
        <v>29</v>
      </c>
      <c r="H12" s="4" t="str">
        <f aca="false">INDEX(Groups!$B:$B,MATCH(G12,Groups!$A:$A,0))</f>
        <v>ECON-25</v>
      </c>
    </row>
    <row r="13" customFormat="false" ht="15" hidden="true" customHeight="false" outlineLevel="0" collapsed="false">
      <c r="A13" s="4" t="n">
        <v>1010</v>
      </c>
      <c r="B13" s="4" t="s">
        <v>43</v>
      </c>
      <c r="C13" s="4" t="s">
        <v>44</v>
      </c>
      <c r="D13" s="5" t="n">
        <v>38838</v>
      </c>
      <c r="E13" s="4" t="s">
        <v>45</v>
      </c>
      <c r="F13" s="4" t="s">
        <v>46</v>
      </c>
      <c r="G13" s="4" t="n">
        <v>30</v>
      </c>
      <c r="H13" s="4" t="str">
        <f aca="false">INDEX(Groups!$B:$B,MATCH(G13,Groups!$A:$A,0))</f>
        <v>PE-24</v>
      </c>
    </row>
    <row r="14" customFormat="false" ht="15" hidden="true" customHeight="false" outlineLevel="0" collapsed="false">
      <c r="A14" s="4" t="n">
        <v>1011</v>
      </c>
      <c r="B14" s="4" t="s">
        <v>47</v>
      </c>
      <c r="C14" s="4" t="s">
        <v>48</v>
      </c>
      <c r="D14" s="5" t="n">
        <v>39116</v>
      </c>
      <c r="E14" s="4" t="s">
        <v>49</v>
      </c>
      <c r="F14" s="4" t="s">
        <v>50</v>
      </c>
      <c r="G14" s="4" t="n">
        <v>31</v>
      </c>
      <c r="H14" s="4" t="str">
        <f aca="false">INDEX(Groups!$B:$B,MATCH(G14,Groups!$A:$A,0))</f>
        <v>PE-25</v>
      </c>
    </row>
    <row r="15" customFormat="false" ht="15" hidden="true" customHeight="false" outlineLevel="0" collapsed="false">
      <c r="A15" s="4" t="n">
        <v>1012</v>
      </c>
      <c r="B15" s="4" t="s">
        <v>51</v>
      </c>
      <c r="C15" s="4" t="s">
        <v>52</v>
      </c>
      <c r="D15" s="5" t="n">
        <v>39002</v>
      </c>
      <c r="E15" s="4" t="s">
        <v>53</v>
      </c>
      <c r="F15" s="4" t="s">
        <v>54</v>
      </c>
      <c r="G15" s="4" t="n">
        <v>32</v>
      </c>
      <c r="H15" s="4" t="str">
        <f aca="false">INDEX(Groups!$B:$B,MATCH(G15,Groups!$A:$A,0))</f>
        <v>ACC-24</v>
      </c>
    </row>
    <row r="16" customFormat="false" ht="15" hidden="true" customHeight="false" outlineLevel="0" collapsed="false">
      <c r="A16" s="4" t="n">
        <v>1013</v>
      </c>
      <c r="B16" s="4" t="s">
        <v>55</v>
      </c>
      <c r="C16" s="4" t="s">
        <v>56</v>
      </c>
      <c r="D16" s="5" t="n">
        <v>38226</v>
      </c>
      <c r="E16" s="4" t="s">
        <v>57</v>
      </c>
      <c r="F16" s="4" t="s">
        <v>58</v>
      </c>
      <c r="G16" s="4" t="n">
        <v>33</v>
      </c>
      <c r="H16" s="4" t="str">
        <f aca="false">INDEX(Groups!$B:$B,MATCH(G16,Groups!$A:$A,0))</f>
        <v>LAW-23</v>
      </c>
    </row>
    <row r="17" customFormat="false" ht="15" hidden="true" customHeight="false" outlineLevel="0" collapsed="false">
      <c r="A17" s="4" t="n">
        <v>1014</v>
      </c>
      <c r="B17" s="4" t="s">
        <v>59</v>
      </c>
      <c r="C17" s="4" t="s">
        <v>60</v>
      </c>
      <c r="D17" s="5" t="n">
        <v>38786</v>
      </c>
      <c r="E17" s="4" t="s">
        <v>61</v>
      </c>
      <c r="F17" s="4" t="s">
        <v>62</v>
      </c>
      <c r="G17" s="4" t="n">
        <v>34</v>
      </c>
      <c r="H17" s="4" t="str">
        <f aca="false">INDEX(Groups!$B:$B,MATCH(G17,Groups!$A:$A,0))</f>
        <v>ECO-25</v>
      </c>
    </row>
    <row r="18" customFormat="false" ht="15" hidden="true" customHeight="false" outlineLevel="0" collapsed="false">
      <c r="A18" s="4" t="n">
        <v>1015</v>
      </c>
      <c r="B18" s="4" t="s">
        <v>63</v>
      </c>
      <c r="C18" s="4" t="s">
        <v>64</v>
      </c>
      <c r="D18" s="5" t="n">
        <v>38448</v>
      </c>
      <c r="E18" s="4" t="s">
        <v>65</v>
      </c>
      <c r="F18" s="4" t="s">
        <v>66</v>
      </c>
      <c r="G18" s="4" t="n">
        <v>35</v>
      </c>
      <c r="H18" s="4" t="str">
        <f aca="false">INDEX(Groups!$B:$B,MATCH(G18,Groups!$A:$A,0))</f>
        <v>FL-24</v>
      </c>
    </row>
    <row r="19" customFormat="false" ht="15" hidden="true" customHeight="false" outlineLevel="0" collapsed="false">
      <c r="A19" s="4" t="n">
        <v>1016</v>
      </c>
      <c r="B19" s="4" t="s">
        <v>67</v>
      </c>
      <c r="C19" s="4" t="s">
        <v>68</v>
      </c>
      <c r="D19" s="5" t="n">
        <v>38031</v>
      </c>
      <c r="E19" s="4" t="s">
        <v>69</v>
      </c>
      <c r="F19" s="4" t="s">
        <v>70</v>
      </c>
      <c r="G19" s="4" t="n">
        <v>21</v>
      </c>
      <c r="H19" s="4" t="str">
        <f aca="false">INDEX(Groups!$B:$B,MATCH(G19,Groups!$A:$A,0))</f>
        <v>IS-23</v>
      </c>
    </row>
    <row r="20" customFormat="false" ht="15" hidden="false" customHeight="false" outlineLevel="0" collapsed="false">
      <c r="A20" s="4" t="n">
        <v>1017</v>
      </c>
      <c r="B20" s="4" t="s">
        <v>71</v>
      </c>
      <c r="C20" s="4" t="s">
        <v>72</v>
      </c>
      <c r="D20" s="5" t="n">
        <v>38480</v>
      </c>
      <c r="E20" s="4" t="s">
        <v>73</v>
      </c>
      <c r="F20" s="4" t="s">
        <v>74</v>
      </c>
      <c r="G20" s="4" t="n">
        <v>22</v>
      </c>
      <c r="H20" s="4" t="str">
        <f aca="false">INDEX(Groups!$B:$B,MATCH(G20,Groups!$A:$A,0))</f>
        <v>IS-24</v>
      </c>
    </row>
    <row r="21" customFormat="false" ht="15" hidden="true" customHeight="false" outlineLevel="0" collapsed="false">
      <c r="A21" s="4" t="n">
        <v>1018</v>
      </c>
      <c r="B21" s="4" t="s">
        <v>75</v>
      </c>
      <c r="C21" s="4" t="s">
        <v>76</v>
      </c>
      <c r="D21" s="5" t="n">
        <v>39219</v>
      </c>
      <c r="E21" s="4" t="s">
        <v>77</v>
      </c>
      <c r="F21" s="4" t="s">
        <v>78</v>
      </c>
      <c r="G21" s="4" t="n">
        <v>23</v>
      </c>
      <c r="H21" s="4" t="str">
        <f aca="false">INDEX(Groups!$B:$B,MATCH(G21,Groups!$A:$A,0))</f>
        <v>IS-25</v>
      </c>
    </row>
    <row r="22" customFormat="false" ht="15" hidden="true" customHeight="false" outlineLevel="0" collapsed="false">
      <c r="A22" s="4" t="n">
        <v>1019</v>
      </c>
      <c r="B22" s="4" t="s">
        <v>79</v>
      </c>
      <c r="C22" s="4" t="s">
        <v>80</v>
      </c>
      <c r="D22" s="5" t="n">
        <v>38582</v>
      </c>
      <c r="E22" s="4" t="s">
        <v>81</v>
      </c>
      <c r="F22" s="4" t="s">
        <v>82</v>
      </c>
      <c r="G22" s="4" t="n">
        <v>24</v>
      </c>
      <c r="H22" s="4" t="str">
        <f aca="false">INDEX(Groups!$B:$B,MATCH(G22,Groups!$A:$A,0))</f>
        <v>CE-23</v>
      </c>
    </row>
    <row r="23" customFormat="false" ht="15" hidden="true" customHeight="false" outlineLevel="0" collapsed="false">
      <c r="A23" s="4" t="n">
        <v>1020</v>
      </c>
      <c r="B23" s="4" t="s">
        <v>83</v>
      </c>
      <c r="C23" s="4" t="s">
        <v>84</v>
      </c>
      <c r="D23" s="5" t="n">
        <v>38355</v>
      </c>
      <c r="E23" s="4" t="s">
        <v>85</v>
      </c>
      <c r="F23" s="4" t="s">
        <v>86</v>
      </c>
      <c r="G23" s="4" t="n">
        <v>25</v>
      </c>
      <c r="H23" s="4" t="str">
        <f aca="false">INDEX(Groups!$B:$B,MATCH(G23,Groups!$A:$A,0))</f>
        <v>CE-24</v>
      </c>
    </row>
    <row r="24" customFormat="false" ht="15" hidden="true" customHeight="false" outlineLevel="0" collapsed="false">
      <c r="A24" s="4" t="n">
        <v>1021</v>
      </c>
      <c r="B24" s="4" t="s">
        <v>87</v>
      </c>
      <c r="C24" s="4" t="s">
        <v>88</v>
      </c>
      <c r="D24" s="5" t="n">
        <v>39088</v>
      </c>
      <c r="E24" s="4" t="s">
        <v>89</v>
      </c>
      <c r="F24" s="4" t="s">
        <v>90</v>
      </c>
      <c r="G24" s="4" t="n">
        <v>26</v>
      </c>
      <c r="H24" s="4" t="str">
        <f aca="false">INDEX(Groups!$B:$B,MATCH(G24,Groups!$A:$A,0))</f>
        <v>CE-25</v>
      </c>
    </row>
    <row r="25" customFormat="false" ht="15" hidden="true" customHeight="false" outlineLevel="0" collapsed="false">
      <c r="A25" s="4" t="n">
        <v>1022</v>
      </c>
      <c r="B25" s="4" t="s">
        <v>91</v>
      </c>
      <c r="C25" s="4" t="s">
        <v>92</v>
      </c>
      <c r="D25" s="5" t="n">
        <v>38760</v>
      </c>
      <c r="E25" s="4" t="s">
        <v>93</v>
      </c>
      <c r="F25" s="4" t="s">
        <v>94</v>
      </c>
      <c r="G25" s="4" t="n">
        <v>27</v>
      </c>
      <c r="H25" s="4" t="str">
        <f aca="false">INDEX(Groups!$B:$B,MATCH(G25,Groups!$A:$A,0))</f>
        <v>MATH-24</v>
      </c>
    </row>
    <row r="26" customFormat="false" ht="15" hidden="true" customHeight="false" outlineLevel="0" collapsed="false">
      <c r="A26" s="4" t="n">
        <v>1023</v>
      </c>
      <c r="B26" s="4" t="s">
        <v>95</v>
      </c>
      <c r="C26" s="4" t="s">
        <v>96</v>
      </c>
      <c r="D26" s="5" t="n">
        <v>38338</v>
      </c>
      <c r="E26" s="4" t="s">
        <v>97</v>
      </c>
      <c r="F26" s="4" t="s">
        <v>98</v>
      </c>
      <c r="G26" s="4" t="n">
        <v>28</v>
      </c>
      <c r="H26" s="4" t="str">
        <f aca="false">INDEX(Groups!$B:$B,MATCH(G26,Groups!$A:$A,0))</f>
        <v>ECON-23</v>
      </c>
    </row>
    <row r="27" customFormat="false" ht="15" hidden="true" customHeight="false" outlineLevel="0" collapsed="false">
      <c r="A27" s="4" t="n">
        <v>1024</v>
      </c>
      <c r="B27" s="4" t="s">
        <v>99</v>
      </c>
      <c r="C27" s="4" t="s">
        <v>100</v>
      </c>
      <c r="D27" s="5" t="n">
        <v>39256</v>
      </c>
      <c r="E27" s="4" t="s">
        <v>101</v>
      </c>
      <c r="F27" s="4" t="s">
        <v>102</v>
      </c>
      <c r="G27" s="4" t="n">
        <v>29</v>
      </c>
      <c r="H27" s="4" t="str">
        <f aca="false">INDEX(Groups!$B:$B,MATCH(G27,Groups!$A:$A,0))</f>
        <v>ECON-25</v>
      </c>
    </row>
    <row r="28" customFormat="false" ht="15" hidden="true" customHeight="false" outlineLevel="0" collapsed="false">
      <c r="A28" s="4" t="n">
        <v>1025</v>
      </c>
      <c r="B28" s="4" t="s">
        <v>103</v>
      </c>
      <c r="C28" s="4" t="s">
        <v>104</v>
      </c>
      <c r="D28" s="5" t="n">
        <v>38399</v>
      </c>
      <c r="E28" s="4" t="s">
        <v>105</v>
      </c>
      <c r="F28" s="4" t="s">
        <v>106</v>
      </c>
      <c r="G28" s="4" t="n">
        <v>30</v>
      </c>
      <c r="H28" s="4" t="str">
        <f aca="false">INDEX(Groups!$B:$B,MATCH(G28,Groups!$A:$A,0))</f>
        <v>PE-24</v>
      </c>
    </row>
    <row r="29" customFormat="false" ht="15" hidden="true" customHeight="false" outlineLevel="0" collapsed="false">
      <c r="A29" s="4" t="n">
        <v>1026</v>
      </c>
      <c r="B29" s="4" t="s">
        <v>107</v>
      </c>
      <c r="C29" s="4" t="s">
        <v>108</v>
      </c>
      <c r="D29" s="5" t="n">
        <v>39116</v>
      </c>
      <c r="E29" s="4" t="s">
        <v>109</v>
      </c>
      <c r="F29" s="4" t="s">
        <v>110</v>
      </c>
      <c r="G29" s="4" t="n">
        <v>31</v>
      </c>
      <c r="H29" s="4" t="str">
        <f aca="false">INDEX(Groups!$B:$B,MATCH(G29,Groups!$A:$A,0))</f>
        <v>PE-25</v>
      </c>
    </row>
    <row r="30" customFormat="false" ht="15" hidden="true" customHeight="false" outlineLevel="0" collapsed="false">
      <c r="A30" s="4" t="n">
        <v>1027</v>
      </c>
      <c r="B30" s="4" t="s">
        <v>111</v>
      </c>
      <c r="C30" s="4" t="s">
        <v>112</v>
      </c>
      <c r="D30" s="5" t="n">
        <v>38709</v>
      </c>
      <c r="E30" s="4" t="s">
        <v>113</v>
      </c>
      <c r="F30" s="4" t="s">
        <v>114</v>
      </c>
      <c r="G30" s="4" t="n">
        <v>32</v>
      </c>
      <c r="H30" s="4" t="str">
        <f aca="false">INDEX(Groups!$B:$B,MATCH(G30,Groups!$A:$A,0))</f>
        <v>ACC-24</v>
      </c>
    </row>
    <row r="31" customFormat="false" ht="15" hidden="true" customHeight="false" outlineLevel="0" collapsed="false">
      <c r="A31" s="4" t="n">
        <v>1028</v>
      </c>
      <c r="B31" s="4" t="s">
        <v>115</v>
      </c>
      <c r="C31" s="4" t="s">
        <v>116</v>
      </c>
      <c r="D31" s="5" t="n">
        <v>38672</v>
      </c>
      <c r="E31" s="4" t="s">
        <v>117</v>
      </c>
      <c r="F31" s="4" t="s">
        <v>118</v>
      </c>
      <c r="G31" s="4" t="n">
        <v>33</v>
      </c>
      <c r="H31" s="4" t="str">
        <f aca="false">INDEX(Groups!$B:$B,MATCH(G31,Groups!$A:$A,0))</f>
        <v>LAW-23</v>
      </c>
    </row>
    <row r="32" customFormat="false" ht="15" hidden="true" customHeight="false" outlineLevel="0" collapsed="false">
      <c r="A32" s="4" t="n">
        <v>1029</v>
      </c>
      <c r="B32" s="4" t="s">
        <v>119</v>
      </c>
      <c r="C32" s="4" t="s">
        <v>120</v>
      </c>
      <c r="D32" s="5" t="n">
        <v>39356</v>
      </c>
      <c r="E32" s="4" t="s">
        <v>121</v>
      </c>
      <c r="F32" s="4" t="s">
        <v>122</v>
      </c>
      <c r="G32" s="4" t="n">
        <v>34</v>
      </c>
      <c r="H32" s="4" t="str">
        <f aca="false">INDEX(Groups!$B:$B,MATCH(G32,Groups!$A:$A,0))</f>
        <v>ECO-25</v>
      </c>
    </row>
    <row r="33" customFormat="false" ht="15" hidden="true" customHeight="false" outlineLevel="0" collapsed="false">
      <c r="A33" s="4" t="n">
        <v>1030</v>
      </c>
      <c r="B33" s="4" t="s">
        <v>123</v>
      </c>
      <c r="C33" s="4" t="s">
        <v>124</v>
      </c>
      <c r="D33" s="5" t="n">
        <v>38386</v>
      </c>
      <c r="E33" s="4" t="s">
        <v>125</v>
      </c>
      <c r="F33" s="4" t="s">
        <v>126</v>
      </c>
      <c r="G33" s="4" t="n">
        <v>35</v>
      </c>
      <c r="H33" s="4" t="str">
        <f aca="false">INDEX(Groups!$B:$B,MATCH(G33,Groups!$A:$A,0))</f>
        <v>FL-24</v>
      </c>
    </row>
  </sheetData>
  <autoFilter ref="A3:H33">
    <filterColumn colId="6">
      <filters>
        <filter val="2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37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0" t="s">
        <v>357</v>
      </c>
    </row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127</v>
      </c>
    </row>
    <row r="4" customFormat="false" ht="15" hidden="true" customHeight="false" outlineLevel="0" collapsed="false">
      <c r="A4" s="4" t="n">
        <v>1001</v>
      </c>
      <c r="B4" s="4" t="s">
        <v>7</v>
      </c>
      <c r="C4" s="4" t="s">
        <v>8</v>
      </c>
      <c r="D4" s="5" t="n">
        <v>38380</v>
      </c>
      <c r="E4" s="4" t="s">
        <v>9</v>
      </c>
      <c r="F4" s="4" t="s">
        <v>10</v>
      </c>
      <c r="G4" s="4" t="n">
        <v>21</v>
      </c>
      <c r="H4" s="4" t="str">
        <f aca="false">INDEX(Groups!$B:$B,MATCH(G4,Groups!$A:$A,0))</f>
        <v>IS-23</v>
      </c>
    </row>
    <row r="5" customFormat="false" ht="15" hidden="false" customHeight="false" outlineLevel="0" collapsed="false">
      <c r="A5" s="4" t="n">
        <v>1002</v>
      </c>
      <c r="B5" s="4" t="s">
        <v>11</v>
      </c>
      <c r="C5" s="4" t="s">
        <v>12</v>
      </c>
      <c r="D5" s="5" t="n">
        <v>38921</v>
      </c>
      <c r="E5" s="4" t="s">
        <v>13</v>
      </c>
      <c r="F5" s="4" t="s">
        <v>14</v>
      </c>
      <c r="G5" s="4" t="n">
        <v>22</v>
      </c>
      <c r="H5" s="4" t="str">
        <f aca="false">INDEX(Groups!$B:$B,MATCH(G5,Groups!$A:$A,0))</f>
        <v>IS-24</v>
      </c>
    </row>
    <row r="6" customFormat="false" ht="15" hidden="false" customHeight="false" outlineLevel="0" collapsed="false">
      <c r="A6" s="4" t="n">
        <v>1003</v>
      </c>
      <c r="B6" s="4" t="s">
        <v>15</v>
      </c>
      <c r="C6" s="4" t="s">
        <v>16</v>
      </c>
      <c r="D6" s="5" t="n">
        <v>38832</v>
      </c>
      <c r="E6" s="4" t="s">
        <v>17</v>
      </c>
      <c r="F6" s="4" t="s">
        <v>18</v>
      </c>
      <c r="G6" s="4" t="n">
        <v>23</v>
      </c>
      <c r="H6" s="4" t="str">
        <f aca="false">INDEX(Groups!$B:$B,MATCH(G6,Groups!$A:$A,0))</f>
        <v>IS-25</v>
      </c>
    </row>
    <row r="7" customFormat="false" ht="15" hidden="true" customHeight="false" outlineLevel="0" collapsed="false">
      <c r="A7" s="4" t="n">
        <v>1004</v>
      </c>
      <c r="B7" s="4" t="s">
        <v>19</v>
      </c>
      <c r="C7" s="4" t="s">
        <v>20</v>
      </c>
      <c r="D7" s="5" t="n">
        <v>38366</v>
      </c>
      <c r="E7" s="4" t="s">
        <v>21</v>
      </c>
      <c r="F7" s="4" t="s">
        <v>22</v>
      </c>
      <c r="G7" s="4" t="n">
        <v>24</v>
      </c>
      <c r="H7" s="4" t="str">
        <f aca="false">INDEX(Groups!$B:$B,MATCH(G7,Groups!$A:$A,0))</f>
        <v>CE-23</v>
      </c>
    </row>
    <row r="8" customFormat="false" ht="15" hidden="true" customHeight="false" outlineLevel="0" collapsed="false">
      <c r="A8" s="4" t="n">
        <v>1005</v>
      </c>
      <c r="B8" s="4" t="s">
        <v>23</v>
      </c>
      <c r="C8" s="4" t="s">
        <v>24</v>
      </c>
      <c r="D8" s="5" t="n">
        <v>38732</v>
      </c>
      <c r="E8" s="4" t="s">
        <v>25</v>
      </c>
      <c r="F8" s="4" t="s">
        <v>26</v>
      </c>
      <c r="G8" s="4" t="n">
        <v>25</v>
      </c>
      <c r="H8" s="4" t="str">
        <f aca="false">INDEX(Groups!$B:$B,MATCH(G8,Groups!$A:$A,0))</f>
        <v>CE-24</v>
      </c>
    </row>
    <row r="9" customFormat="false" ht="15" hidden="true" customHeight="false" outlineLevel="0" collapsed="false">
      <c r="A9" s="4" t="n">
        <v>1006</v>
      </c>
      <c r="B9" s="4" t="s">
        <v>27</v>
      </c>
      <c r="C9" s="4" t="s">
        <v>28</v>
      </c>
      <c r="D9" s="5" t="n">
        <v>39311</v>
      </c>
      <c r="E9" s="4" t="s">
        <v>29</v>
      </c>
      <c r="F9" s="4" t="s">
        <v>30</v>
      </c>
      <c r="G9" s="4" t="n">
        <v>26</v>
      </c>
      <c r="H9" s="4" t="str">
        <f aca="false">INDEX(Groups!$B:$B,MATCH(G9,Groups!$A:$A,0))</f>
        <v>CE-25</v>
      </c>
    </row>
    <row r="10" customFormat="false" ht="15" hidden="true" customHeight="false" outlineLevel="0" collapsed="false">
      <c r="A10" s="4" t="n">
        <v>1007</v>
      </c>
      <c r="B10" s="4" t="s">
        <v>31</v>
      </c>
      <c r="C10" s="4" t="s">
        <v>32</v>
      </c>
      <c r="D10" s="5" t="n">
        <v>38537</v>
      </c>
      <c r="E10" s="4" t="s">
        <v>33</v>
      </c>
      <c r="F10" s="4" t="s">
        <v>34</v>
      </c>
      <c r="G10" s="4" t="n">
        <v>27</v>
      </c>
      <c r="H10" s="4" t="str">
        <f aca="false">INDEX(Groups!$B:$B,MATCH(G10,Groups!$A:$A,0))</f>
        <v>MATH-24</v>
      </c>
    </row>
    <row r="11" customFormat="false" ht="15" hidden="true" customHeight="false" outlineLevel="0" collapsed="false">
      <c r="A11" s="4" t="n">
        <v>1008</v>
      </c>
      <c r="B11" s="4" t="s">
        <v>35</v>
      </c>
      <c r="C11" s="4" t="s">
        <v>36</v>
      </c>
      <c r="D11" s="5" t="n">
        <v>38635</v>
      </c>
      <c r="E11" s="4" t="s">
        <v>37</v>
      </c>
      <c r="F11" s="4" t="s">
        <v>38</v>
      </c>
      <c r="G11" s="4" t="n">
        <v>28</v>
      </c>
      <c r="H11" s="4" t="str">
        <f aca="false">INDEX(Groups!$B:$B,MATCH(G11,Groups!$A:$A,0))</f>
        <v>ECON-23</v>
      </c>
    </row>
    <row r="12" customFormat="false" ht="15" hidden="true" customHeight="false" outlineLevel="0" collapsed="false">
      <c r="A12" s="4" t="n">
        <v>1009</v>
      </c>
      <c r="B12" s="4" t="s">
        <v>39</v>
      </c>
      <c r="C12" s="4" t="s">
        <v>40</v>
      </c>
      <c r="D12" s="5" t="n">
        <v>39040</v>
      </c>
      <c r="E12" s="4" t="s">
        <v>41</v>
      </c>
      <c r="F12" s="4" t="s">
        <v>42</v>
      </c>
      <c r="G12" s="4" t="n">
        <v>29</v>
      </c>
      <c r="H12" s="4" t="str">
        <f aca="false">INDEX(Groups!$B:$B,MATCH(G12,Groups!$A:$A,0))</f>
        <v>ECON-25</v>
      </c>
    </row>
    <row r="13" customFormat="false" ht="15" hidden="true" customHeight="false" outlineLevel="0" collapsed="false">
      <c r="A13" s="4" t="n">
        <v>1010</v>
      </c>
      <c r="B13" s="4" t="s">
        <v>43</v>
      </c>
      <c r="C13" s="4" t="s">
        <v>44</v>
      </c>
      <c r="D13" s="5" t="n">
        <v>38838</v>
      </c>
      <c r="E13" s="4" t="s">
        <v>45</v>
      </c>
      <c r="F13" s="4" t="s">
        <v>46</v>
      </c>
      <c r="G13" s="4" t="n">
        <v>30</v>
      </c>
      <c r="H13" s="4" t="str">
        <f aca="false">INDEX(Groups!$B:$B,MATCH(G13,Groups!$A:$A,0))</f>
        <v>PE-24</v>
      </c>
    </row>
    <row r="14" customFormat="false" ht="15" hidden="true" customHeight="false" outlineLevel="0" collapsed="false">
      <c r="A14" s="4" t="n">
        <v>1011</v>
      </c>
      <c r="B14" s="4" t="s">
        <v>47</v>
      </c>
      <c r="C14" s="4" t="s">
        <v>48</v>
      </c>
      <c r="D14" s="5" t="n">
        <v>39116</v>
      </c>
      <c r="E14" s="4" t="s">
        <v>49</v>
      </c>
      <c r="F14" s="4" t="s">
        <v>50</v>
      </c>
      <c r="G14" s="4" t="n">
        <v>31</v>
      </c>
      <c r="H14" s="4" t="str">
        <f aca="false">INDEX(Groups!$B:$B,MATCH(G14,Groups!$A:$A,0))</f>
        <v>PE-25</v>
      </c>
    </row>
    <row r="15" customFormat="false" ht="15" hidden="true" customHeight="false" outlineLevel="0" collapsed="false">
      <c r="A15" s="4" t="n">
        <v>1012</v>
      </c>
      <c r="B15" s="4" t="s">
        <v>51</v>
      </c>
      <c r="C15" s="4" t="s">
        <v>52</v>
      </c>
      <c r="D15" s="5" t="n">
        <v>39002</v>
      </c>
      <c r="E15" s="4" t="s">
        <v>53</v>
      </c>
      <c r="F15" s="4" t="s">
        <v>54</v>
      </c>
      <c r="G15" s="4" t="n">
        <v>32</v>
      </c>
      <c r="H15" s="4" t="str">
        <f aca="false">INDEX(Groups!$B:$B,MATCH(G15,Groups!$A:$A,0))</f>
        <v>ACC-24</v>
      </c>
    </row>
    <row r="16" customFormat="false" ht="15" hidden="true" customHeight="false" outlineLevel="0" collapsed="false">
      <c r="A16" s="4" t="n">
        <v>1013</v>
      </c>
      <c r="B16" s="4" t="s">
        <v>55</v>
      </c>
      <c r="C16" s="4" t="s">
        <v>56</v>
      </c>
      <c r="D16" s="5" t="n">
        <v>38226</v>
      </c>
      <c r="E16" s="4" t="s">
        <v>57</v>
      </c>
      <c r="F16" s="4" t="s">
        <v>58</v>
      </c>
      <c r="G16" s="4" t="n">
        <v>33</v>
      </c>
      <c r="H16" s="4" t="str">
        <f aca="false">INDEX(Groups!$B:$B,MATCH(G16,Groups!$A:$A,0))</f>
        <v>LAW-23</v>
      </c>
    </row>
    <row r="17" customFormat="false" ht="15" hidden="true" customHeight="false" outlineLevel="0" collapsed="false">
      <c r="A17" s="4" t="n">
        <v>1014</v>
      </c>
      <c r="B17" s="4" t="s">
        <v>59</v>
      </c>
      <c r="C17" s="4" t="s">
        <v>60</v>
      </c>
      <c r="D17" s="5" t="n">
        <v>38786</v>
      </c>
      <c r="E17" s="4" t="s">
        <v>61</v>
      </c>
      <c r="F17" s="4" t="s">
        <v>62</v>
      </c>
      <c r="G17" s="4" t="n">
        <v>34</v>
      </c>
      <c r="H17" s="4" t="str">
        <f aca="false">INDEX(Groups!$B:$B,MATCH(G17,Groups!$A:$A,0))</f>
        <v>ECO-25</v>
      </c>
    </row>
    <row r="18" customFormat="false" ht="15" hidden="true" customHeight="false" outlineLevel="0" collapsed="false">
      <c r="A18" s="4" t="n">
        <v>1015</v>
      </c>
      <c r="B18" s="4" t="s">
        <v>63</v>
      </c>
      <c r="C18" s="4" t="s">
        <v>64</v>
      </c>
      <c r="D18" s="5" t="n">
        <v>38448</v>
      </c>
      <c r="E18" s="4" t="s">
        <v>65</v>
      </c>
      <c r="F18" s="4" t="s">
        <v>66</v>
      </c>
      <c r="G18" s="4" t="n">
        <v>35</v>
      </c>
      <c r="H18" s="4" t="str">
        <f aca="false">INDEX(Groups!$B:$B,MATCH(G18,Groups!$A:$A,0))</f>
        <v>FL-24</v>
      </c>
    </row>
    <row r="19" customFormat="false" ht="15" hidden="true" customHeight="false" outlineLevel="0" collapsed="false">
      <c r="A19" s="4" t="n">
        <v>1016</v>
      </c>
      <c r="B19" s="4" t="s">
        <v>67</v>
      </c>
      <c r="C19" s="4" t="s">
        <v>68</v>
      </c>
      <c r="D19" s="5" t="n">
        <v>38031</v>
      </c>
      <c r="E19" s="4" t="s">
        <v>69</v>
      </c>
      <c r="F19" s="4" t="s">
        <v>70</v>
      </c>
      <c r="G19" s="4" t="n">
        <v>21</v>
      </c>
      <c r="H19" s="4" t="str">
        <f aca="false">INDEX(Groups!$B:$B,MATCH(G19,Groups!$A:$A,0))</f>
        <v>IS-23</v>
      </c>
    </row>
    <row r="20" customFormat="false" ht="15" hidden="true" customHeight="false" outlineLevel="0" collapsed="false">
      <c r="A20" s="4" t="n">
        <v>1017</v>
      </c>
      <c r="B20" s="4" t="s">
        <v>71</v>
      </c>
      <c r="C20" s="4" t="s">
        <v>72</v>
      </c>
      <c r="D20" s="5" t="n">
        <v>38480</v>
      </c>
      <c r="E20" s="4" t="s">
        <v>73</v>
      </c>
      <c r="F20" s="4" t="s">
        <v>74</v>
      </c>
      <c r="G20" s="4" t="n">
        <v>22</v>
      </c>
      <c r="H20" s="4" t="str">
        <f aca="false">INDEX(Groups!$B:$B,MATCH(G20,Groups!$A:$A,0))</f>
        <v>IS-24</v>
      </c>
    </row>
    <row r="21" customFormat="false" ht="15" hidden="false" customHeight="false" outlineLevel="0" collapsed="false">
      <c r="A21" s="4" t="n">
        <v>1018</v>
      </c>
      <c r="B21" s="4" t="s">
        <v>75</v>
      </c>
      <c r="C21" s="4" t="s">
        <v>76</v>
      </c>
      <c r="D21" s="5" t="n">
        <v>39219</v>
      </c>
      <c r="E21" s="4" t="s">
        <v>77</v>
      </c>
      <c r="F21" s="4" t="s">
        <v>78</v>
      </c>
      <c r="G21" s="4" t="n">
        <v>23</v>
      </c>
      <c r="H21" s="4" t="str">
        <f aca="false">INDEX(Groups!$B:$B,MATCH(G21,Groups!$A:$A,0))</f>
        <v>IS-25</v>
      </c>
    </row>
    <row r="22" customFormat="false" ht="15" hidden="true" customHeight="false" outlineLevel="0" collapsed="false">
      <c r="A22" s="4" t="n">
        <v>1019</v>
      </c>
      <c r="B22" s="4" t="s">
        <v>79</v>
      </c>
      <c r="C22" s="4" t="s">
        <v>80</v>
      </c>
      <c r="D22" s="5" t="n">
        <v>38582</v>
      </c>
      <c r="E22" s="4" t="s">
        <v>81</v>
      </c>
      <c r="F22" s="4" t="s">
        <v>82</v>
      </c>
      <c r="G22" s="4" t="n">
        <v>24</v>
      </c>
      <c r="H22" s="4" t="str">
        <f aca="false">INDEX(Groups!$B:$B,MATCH(G22,Groups!$A:$A,0))</f>
        <v>CE-23</v>
      </c>
    </row>
    <row r="23" customFormat="false" ht="15" hidden="true" customHeight="false" outlineLevel="0" collapsed="false">
      <c r="A23" s="4" t="n">
        <v>1020</v>
      </c>
      <c r="B23" s="4" t="s">
        <v>83</v>
      </c>
      <c r="C23" s="4" t="s">
        <v>84</v>
      </c>
      <c r="D23" s="5" t="n">
        <v>38355</v>
      </c>
      <c r="E23" s="4" t="s">
        <v>85</v>
      </c>
      <c r="F23" s="4" t="s">
        <v>86</v>
      </c>
      <c r="G23" s="4" t="n">
        <v>25</v>
      </c>
      <c r="H23" s="4" t="str">
        <f aca="false">INDEX(Groups!$B:$B,MATCH(G23,Groups!$A:$A,0))</f>
        <v>CE-24</v>
      </c>
    </row>
    <row r="24" customFormat="false" ht="15" hidden="true" customHeight="false" outlineLevel="0" collapsed="false">
      <c r="A24" s="4" t="n">
        <v>1021</v>
      </c>
      <c r="B24" s="4" t="s">
        <v>87</v>
      </c>
      <c r="C24" s="4" t="s">
        <v>88</v>
      </c>
      <c r="D24" s="5" t="n">
        <v>39088</v>
      </c>
      <c r="E24" s="4" t="s">
        <v>89</v>
      </c>
      <c r="F24" s="4" t="s">
        <v>90</v>
      </c>
      <c r="G24" s="4" t="n">
        <v>26</v>
      </c>
      <c r="H24" s="4" t="str">
        <f aca="false">INDEX(Groups!$B:$B,MATCH(G24,Groups!$A:$A,0))</f>
        <v>CE-25</v>
      </c>
    </row>
    <row r="25" customFormat="false" ht="15" hidden="true" customHeight="false" outlineLevel="0" collapsed="false">
      <c r="A25" s="4" t="n">
        <v>1022</v>
      </c>
      <c r="B25" s="4" t="s">
        <v>91</v>
      </c>
      <c r="C25" s="4" t="s">
        <v>92</v>
      </c>
      <c r="D25" s="5" t="n">
        <v>38760</v>
      </c>
      <c r="E25" s="4" t="s">
        <v>93</v>
      </c>
      <c r="F25" s="4" t="s">
        <v>94</v>
      </c>
      <c r="G25" s="4" t="n">
        <v>27</v>
      </c>
      <c r="H25" s="4" t="str">
        <f aca="false">INDEX(Groups!$B:$B,MATCH(G25,Groups!$A:$A,0))</f>
        <v>MATH-24</v>
      </c>
    </row>
    <row r="26" customFormat="false" ht="15" hidden="true" customHeight="false" outlineLevel="0" collapsed="false">
      <c r="A26" s="4" t="n">
        <v>1023</v>
      </c>
      <c r="B26" s="4" t="s">
        <v>95</v>
      </c>
      <c r="C26" s="4" t="s">
        <v>96</v>
      </c>
      <c r="D26" s="5" t="n">
        <v>38338</v>
      </c>
      <c r="E26" s="4" t="s">
        <v>97</v>
      </c>
      <c r="F26" s="4" t="s">
        <v>98</v>
      </c>
      <c r="G26" s="4" t="n">
        <v>28</v>
      </c>
      <c r="H26" s="4" t="str">
        <f aca="false">INDEX(Groups!$B:$B,MATCH(G26,Groups!$A:$A,0))</f>
        <v>ECON-23</v>
      </c>
    </row>
    <row r="27" customFormat="false" ht="15" hidden="true" customHeight="false" outlineLevel="0" collapsed="false">
      <c r="A27" s="4" t="n">
        <v>1024</v>
      </c>
      <c r="B27" s="4" t="s">
        <v>99</v>
      </c>
      <c r="C27" s="4" t="s">
        <v>100</v>
      </c>
      <c r="D27" s="5" t="n">
        <v>39256</v>
      </c>
      <c r="E27" s="4" t="s">
        <v>101</v>
      </c>
      <c r="F27" s="4" t="s">
        <v>102</v>
      </c>
      <c r="G27" s="4" t="n">
        <v>29</v>
      </c>
      <c r="H27" s="4" t="str">
        <f aca="false">INDEX(Groups!$B:$B,MATCH(G27,Groups!$A:$A,0))</f>
        <v>ECON-25</v>
      </c>
    </row>
    <row r="28" customFormat="false" ht="15" hidden="true" customHeight="false" outlineLevel="0" collapsed="false">
      <c r="A28" s="4" t="n">
        <v>1025</v>
      </c>
      <c r="B28" s="4" t="s">
        <v>103</v>
      </c>
      <c r="C28" s="4" t="s">
        <v>104</v>
      </c>
      <c r="D28" s="5" t="n">
        <v>38399</v>
      </c>
      <c r="E28" s="4" t="s">
        <v>105</v>
      </c>
      <c r="F28" s="4" t="s">
        <v>106</v>
      </c>
      <c r="G28" s="4" t="n">
        <v>30</v>
      </c>
      <c r="H28" s="4" t="str">
        <f aca="false">INDEX(Groups!$B:$B,MATCH(G28,Groups!$A:$A,0))</f>
        <v>PE-24</v>
      </c>
    </row>
    <row r="29" customFormat="false" ht="15" hidden="true" customHeight="false" outlineLevel="0" collapsed="false">
      <c r="A29" s="4" t="n">
        <v>1026</v>
      </c>
      <c r="B29" s="4" t="s">
        <v>107</v>
      </c>
      <c r="C29" s="4" t="s">
        <v>108</v>
      </c>
      <c r="D29" s="5" t="n">
        <v>39116</v>
      </c>
      <c r="E29" s="4" t="s">
        <v>109</v>
      </c>
      <c r="F29" s="4" t="s">
        <v>110</v>
      </c>
      <c r="G29" s="4" t="n">
        <v>31</v>
      </c>
      <c r="H29" s="4" t="str">
        <f aca="false">INDEX(Groups!$B:$B,MATCH(G29,Groups!$A:$A,0))</f>
        <v>PE-25</v>
      </c>
    </row>
    <row r="30" customFormat="false" ht="15" hidden="true" customHeight="false" outlineLevel="0" collapsed="false">
      <c r="A30" s="4" t="n">
        <v>1027</v>
      </c>
      <c r="B30" s="4" t="s">
        <v>111</v>
      </c>
      <c r="C30" s="4" t="s">
        <v>112</v>
      </c>
      <c r="D30" s="5" t="n">
        <v>38709</v>
      </c>
      <c r="E30" s="4" t="s">
        <v>113</v>
      </c>
      <c r="F30" s="4" t="s">
        <v>114</v>
      </c>
      <c r="G30" s="4" t="n">
        <v>32</v>
      </c>
      <c r="H30" s="4" t="str">
        <f aca="false">INDEX(Groups!$B:$B,MATCH(G30,Groups!$A:$A,0))</f>
        <v>ACC-24</v>
      </c>
    </row>
    <row r="31" customFormat="false" ht="15" hidden="true" customHeight="false" outlineLevel="0" collapsed="false">
      <c r="A31" s="4" t="n">
        <v>1028</v>
      </c>
      <c r="B31" s="4" t="s">
        <v>115</v>
      </c>
      <c r="C31" s="4" t="s">
        <v>116</v>
      </c>
      <c r="D31" s="5" t="n">
        <v>38672</v>
      </c>
      <c r="E31" s="4" t="s">
        <v>117</v>
      </c>
      <c r="F31" s="4" t="s">
        <v>118</v>
      </c>
      <c r="G31" s="4" t="n">
        <v>33</v>
      </c>
      <c r="H31" s="4" t="str">
        <f aca="false">INDEX(Groups!$B:$B,MATCH(G31,Groups!$A:$A,0))</f>
        <v>LAW-23</v>
      </c>
    </row>
    <row r="32" customFormat="false" ht="15" hidden="true" customHeight="false" outlineLevel="0" collapsed="false">
      <c r="A32" s="4" t="n">
        <v>1029</v>
      </c>
      <c r="B32" s="4" t="s">
        <v>119</v>
      </c>
      <c r="C32" s="4" t="s">
        <v>120</v>
      </c>
      <c r="D32" s="5" t="n">
        <v>39356</v>
      </c>
      <c r="E32" s="4" t="s">
        <v>121</v>
      </c>
      <c r="F32" s="4" t="s">
        <v>122</v>
      </c>
      <c r="G32" s="4" t="n">
        <v>34</v>
      </c>
      <c r="H32" s="4" t="str">
        <f aca="false">INDEX(Groups!$B:$B,MATCH(G32,Groups!$A:$A,0))</f>
        <v>ECO-25</v>
      </c>
    </row>
    <row r="33" customFormat="false" ht="15" hidden="true" customHeight="false" outlineLevel="0" collapsed="false">
      <c r="A33" s="4" t="n">
        <v>1030</v>
      </c>
      <c r="B33" s="4" t="s">
        <v>123</v>
      </c>
      <c r="C33" s="4" t="s">
        <v>124</v>
      </c>
      <c r="D33" s="5" t="n">
        <v>38386</v>
      </c>
      <c r="E33" s="4" t="s">
        <v>125</v>
      </c>
      <c r="F33" s="4" t="s">
        <v>126</v>
      </c>
      <c r="G33" s="4" t="n">
        <v>35</v>
      </c>
      <c r="H33" s="4" t="str">
        <f aca="false">INDEX(Groups!$B:$B,MATCH(G33,Groups!$A:$A,0))</f>
        <v>FL-24</v>
      </c>
    </row>
  </sheetData>
  <autoFilter ref="A3:H33">
    <filterColumn colId="6">
      <customFilters and="true">
        <customFilter operator="greaterThanOrEqual" val="21"/>
        <customFilter operator="lessThanOrEqual" val="23"/>
      </customFilters>
    </filterColumn>
    <filterColumn colId="3">
      <customFilters and="true">
        <customFilter operator="greaterThanOrEqual" val="38718"/>
      </custom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37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0" t="s">
        <v>358</v>
      </c>
    </row>
    <row r="3" customFormat="false" ht="15" hidden="false" customHeight="false" outlineLevel="0" collapsed="false">
      <c r="A3" s="11" t="s">
        <v>359</v>
      </c>
      <c r="B3" s="12" t="n">
        <v>1017</v>
      </c>
    </row>
    <row r="4" customFormat="false" ht="15" hidden="false" customHeight="false" outlineLevel="0" collapsed="false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127</v>
      </c>
    </row>
    <row r="5" customFormat="false" ht="15" hidden="false" customHeight="false" outlineLevel="0" collapsed="false">
      <c r="A5" s="4" t="n">
        <f aca="false">IFERROR(INDEX(Students!A:A,MATCH(B3,Students!A:A,0)),"not found")</f>
        <v>1017</v>
      </c>
      <c r="B5" s="4" t="str">
        <f aca="false">IFERROR(INDEX(Students!B:B,MATCH(B3,Students!A:A,0)),"not found")</f>
        <v>Adil</v>
      </c>
      <c r="C5" s="4" t="str">
        <f aca="false">IFERROR(INDEX(Students!C:C,MATCH(B3,Students!A:A,0)),"not found")</f>
        <v>Dosmukhamedov</v>
      </c>
      <c r="D5" s="14" t="n">
        <f aca="false">IFERROR(INDEX(Students!D:D,MATCH(B3,Students!A:A,0)),"not found")</f>
        <v>38480</v>
      </c>
      <c r="E5" s="4" t="str">
        <f aca="false">IFERROR(INDEX(Students!E:E,MATCH(B3,Students!A:A,0)),"not found")</f>
        <v>adil.dosmukhamedov@stud.univ.edu.kz</v>
      </c>
      <c r="F5" s="4" t="str">
        <f aca="false">IFERROR(INDEX(Students!F:F,MATCH(B3,Students!A:A,0)),"not found")</f>
        <v>+7 7060 363 63 86</v>
      </c>
      <c r="G5" s="4" t="n">
        <f aca="false">IFERROR(INDEX(Students!G:G,MATCH(B3,Students!A:A,0)),"not found")</f>
        <v>22</v>
      </c>
      <c r="H5" s="4" t="str">
        <f aca="false">IFERROR(INDEX(Groups!B:B,MATCH(G5,Groups!A:A,0)),"not found")</f>
        <v>IS-24</v>
      </c>
    </row>
    <row r="9" customFormat="false" ht="15" hidden="false" customHeight="false" outlineLevel="0" collapsed="false">
      <c r="A9" s="11" t="s">
        <v>360</v>
      </c>
      <c r="B9" s="12" t="s">
        <v>60</v>
      </c>
    </row>
    <row r="10" customFormat="false" ht="15" hidden="false" customHeight="false" outlineLevel="0" collapsed="false">
      <c r="A10" s="13" t="s">
        <v>0</v>
      </c>
      <c r="B10" s="13" t="s">
        <v>1</v>
      </c>
      <c r="C10" s="13" t="s">
        <v>2</v>
      </c>
      <c r="D10" s="13" t="s">
        <v>3</v>
      </c>
      <c r="E10" s="13" t="s">
        <v>4</v>
      </c>
      <c r="F10" s="13" t="s">
        <v>5</v>
      </c>
      <c r="G10" s="13" t="s">
        <v>6</v>
      </c>
      <c r="H10" s="13" t="s">
        <v>127</v>
      </c>
    </row>
    <row r="11" customFormat="false" ht="15" hidden="false" customHeight="false" outlineLevel="0" collapsed="false">
      <c r="A11" s="4" t="n">
        <f aca="false">IFERROR(INDEX(Students!A:A,MATCH(B9,Students!C:C,0)),"not found")</f>
        <v>1014</v>
      </c>
      <c r="B11" s="4" t="str">
        <f aca="false">IFERROR(INDEX(Students!B:B,MATCH(B9,Students!C:C,0)),"not found")</f>
        <v>Inkar</v>
      </c>
      <c r="C11" s="4" t="str">
        <f aca="false">IFERROR(INDEX(Students!C:C,MATCH(B9,Students!C:C,0)),"not found")</f>
        <v>Omarova</v>
      </c>
      <c r="D11" s="14" t="n">
        <f aca="false">IFERROR(INDEX(Students!D:D,MATCH(B9,Students!C:C,0)),"not found")</f>
        <v>38786</v>
      </c>
      <c r="E11" s="4" t="str">
        <f aca="false">IFERROR(INDEX(Students!E:E,MATCH(B9,Students!C:C,0)),"not found")</f>
        <v>inkar.omarova@stud.univ.edu.kz</v>
      </c>
      <c r="F11" s="4" t="str">
        <f aca="false">IFERROR(INDEX(Students!F:F,MATCH(B9,Students!C:C,0)),"not found")</f>
        <v>+7 7039 937 88 41</v>
      </c>
      <c r="G11" s="4" t="n">
        <f aca="false">IFERROR(INDEX(Students!G:G,MATCH(B9,Students!C:C,0)),"not found")</f>
        <v>34</v>
      </c>
      <c r="H11" s="4" t="str">
        <f aca="false">IFERROR(INDEX(Groups!B:B,MATCH(G11,Groups!A:A,0)),"not found")</f>
        <v>ECO-25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2026-10-13T13:04:28Z</dcterms:created>
  <dc:creator>openpyxl</dc:creator>
  <dc:description/>
  <dc:language>en-US</dc:language>
  <cp:lastModifiedBy/>
  <dcterms:modified xsi:type="dcterms:W3CDTF">2026-10-29T11:59:23Z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